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VOLTIX Internship\Task 4\"/>
    </mc:Choice>
  </mc:AlternateContent>
  <xr:revisionPtr revIDLastSave="0" documentId="13_ncr:1_{640EB0DE-06BF-40D8-A9EC-DD45CC0C381A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Task 1" sheetId="1" r:id="rId1"/>
    <sheet name="Task 2" sheetId="2" r:id="rId2"/>
    <sheet name="Task 3" sheetId="3" r:id="rId3"/>
    <sheet name="Task 4" sheetId="4" r:id="rId4"/>
    <sheet name="Task 5" sheetId="6" r:id="rId5"/>
    <sheet name="Task 6" sheetId="7" r:id="rId6"/>
    <sheet name="Task 7" sheetId="8" r:id="rId7"/>
  </sheets>
  <calcPr calcId="191028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8" l="1"/>
  <c r="D6" i="8" s="1"/>
  <c r="B7" i="8"/>
  <c r="D7" i="8" s="1"/>
  <c r="B8" i="8"/>
  <c r="D8" i="8" s="1"/>
  <c r="B9" i="8"/>
  <c r="D9" i="8" s="1"/>
  <c r="B10" i="8"/>
  <c r="D10" i="8" s="1"/>
  <c r="A6" i="8"/>
  <c r="A7" i="8"/>
  <c r="A8" i="8"/>
  <c r="A9" i="8"/>
  <c r="A10" i="8"/>
  <c r="A5" i="8"/>
  <c r="B5" i="8"/>
  <c r="D5" i="8" s="1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5" i="7"/>
  <c r="J15" i="6"/>
  <c r="I15" i="6"/>
  <c r="J9" i="4"/>
  <c r="J8" i="4"/>
  <c r="J7" i="4"/>
  <c r="J6" i="4"/>
  <c r="J5" i="3"/>
  <c r="J4" i="3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D16" i="8" l="1"/>
</calcChain>
</file>

<file path=xl/sharedStrings.xml><?xml version="1.0" encoding="utf-8"?>
<sst xmlns="http://schemas.openxmlformats.org/spreadsheetml/2006/main" count="402" uniqueCount="57">
  <si>
    <t>Please organize the data by using the best format for date , and currency , fonts, frams, ect…</t>
  </si>
  <si>
    <t>Sales Report</t>
  </si>
  <si>
    <t>Order Date</t>
  </si>
  <si>
    <t>Sales Agent Name</t>
  </si>
  <si>
    <t>Car Type</t>
  </si>
  <si>
    <t>Car price</t>
  </si>
  <si>
    <t>Count</t>
  </si>
  <si>
    <t>Total Sales</t>
  </si>
  <si>
    <t>Ahmed</t>
  </si>
  <si>
    <t>Toyota</t>
  </si>
  <si>
    <t>Hossam</t>
  </si>
  <si>
    <t>Jeep</t>
  </si>
  <si>
    <t>Abdullah</t>
  </si>
  <si>
    <t>Mona</t>
  </si>
  <si>
    <t>Volkswagen</t>
  </si>
  <si>
    <t>Farida</t>
  </si>
  <si>
    <t>BMW</t>
  </si>
  <si>
    <t>Kia</t>
  </si>
  <si>
    <t>Ali</t>
  </si>
  <si>
    <t>Please change the color of the highest and lowest order amount</t>
  </si>
  <si>
    <t>Please highlight the by green all the results that more than J3 Amount and by red any results below this number</t>
  </si>
  <si>
    <t>Please find the highest and the lowest results</t>
  </si>
  <si>
    <t>Target</t>
  </si>
  <si>
    <t>Sales Report per Thousand</t>
  </si>
  <si>
    <t>The lowest Sales Amount</t>
  </si>
  <si>
    <t>Sales Person</t>
  </si>
  <si>
    <t>Jan</t>
  </si>
  <si>
    <t>Feb</t>
  </si>
  <si>
    <t>Mar</t>
  </si>
  <si>
    <t>Apr</t>
  </si>
  <si>
    <t>May</t>
  </si>
  <si>
    <t>Jun</t>
  </si>
  <si>
    <t>The highest result</t>
  </si>
  <si>
    <t>Hand</t>
  </si>
  <si>
    <t>Tamer</t>
  </si>
  <si>
    <t>Othman</t>
  </si>
  <si>
    <t>Please fill the yellow cells by the related equation</t>
  </si>
  <si>
    <t>Item</t>
  </si>
  <si>
    <t>Amount</t>
  </si>
  <si>
    <t>Total Sales Amount</t>
  </si>
  <si>
    <t>Total Sold Cars</t>
  </si>
  <si>
    <t>Count of orders</t>
  </si>
  <si>
    <t>Average order Amount</t>
  </si>
  <si>
    <t>Please prepare a report for each one of sales persons results</t>
  </si>
  <si>
    <t>Please find the best sales person according to his sales amount</t>
  </si>
  <si>
    <t>t</t>
  </si>
  <si>
    <t>Please list the car prices for each order and calculate the full order amount</t>
  </si>
  <si>
    <t>Price</t>
  </si>
  <si>
    <t>Mazda</t>
  </si>
  <si>
    <t>Please  prepare a new bill for your order</t>
  </si>
  <si>
    <t>Total</t>
  </si>
  <si>
    <t>Row Labels</t>
  </si>
  <si>
    <t>Grand Total</t>
  </si>
  <si>
    <t>Best Sales Person</t>
  </si>
  <si>
    <t>Number of Order</t>
  </si>
  <si>
    <t xml:space="preserve"> Total Sales</t>
  </si>
  <si>
    <t>Car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</si>
</sst>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_);_(&quot;$&quot;* \(#,##0\);_(&quot;$&quot;* &quot;-&quot;??_);_(@_)"/>
    <numFmt numFmtId="165" formatCode="[$EGP]\ #,##0"/>
    <numFmt numFmtId="166" formatCode="[$-409]d\-mmm\-yy"/>
    <numFmt numFmtId="167" formatCode="_(* #,##0_);_(* \(#,##0\);_(* &quot;-&quot;??_);_(@_)"/>
    <numFmt numFmtId="168" formatCode="dd\-mmm\-yyyy"/>
    <numFmt numFmtId="169" formatCode="#,##0&quot; EGP&quot;"/>
  </numFmts>
  <fonts count="2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C0000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i/>
      <sz val="11"/>
      <color theme="1"/>
      <name val="Calibri"/>
    </font>
    <font>
      <b/>
      <sz val="11"/>
      <color theme="0"/>
      <name val="Calibri"/>
    </font>
    <font>
      <sz val="1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0"/>
      <name val="Calibri"/>
      <family val="2"/>
    </font>
    <font>
      <i/>
      <sz val="11"/>
      <color theme="1"/>
      <name val="Calibri"/>
      <family val="2"/>
    </font>
    <font>
      <b/>
      <sz val="14"/>
      <color theme="4" tint="-0.499984740745262"/>
      <name val="Calibri"/>
      <family val="2"/>
    </font>
    <font>
      <b/>
      <sz val="11"/>
      <color theme="0"/>
      <name val="Calibri"/>
      <family val="2"/>
    </font>
    <font>
      <b/>
      <sz val="11"/>
      <color theme="4" tint="-0.499984740745262"/>
      <name val="Calibri"/>
      <family val="2"/>
    </font>
    <font>
      <sz val="11"/>
      <color theme="0"/>
      <name val="Calibri"/>
      <family val="2"/>
    </font>
    <font>
      <b/>
      <sz val="11"/>
      <color rgb="FFC00000"/>
      <name val="Calibri"/>
      <family val="2"/>
    </font>
    <font>
      <b/>
      <sz val="11"/>
      <color theme="9" tint="-0.249977111117893"/>
      <name val="Calibri"/>
      <family val="2"/>
    </font>
    <font>
      <b/>
      <sz val="12"/>
      <color theme="8" tint="-0.249977111117893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rgb="FF333F4F"/>
      </patternFill>
    </fill>
    <fill>
      <patternFill patternType="solid">
        <fgColor theme="4" tint="-0.249977111117893"/>
        <bgColor rgb="FF1E4E79"/>
      </patternFill>
    </fill>
    <fill>
      <patternFill patternType="solid">
        <fgColor rgb="FFAAEAB0"/>
        <bgColor indexed="64"/>
      </patternFill>
    </fill>
    <fill>
      <patternFill patternType="solid">
        <fgColor theme="0"/>
        <bgColor rgb="FF333F4F"/>
      </patternFill>
    </fill>
    <fill>
      <patternFill patternType="solid">
        <fgColor theme="4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165" fontId="4" fillId="0" borderId="0" xfId="0" applyNumberFormat="1" applyFont="1"/>
    <xf numFmtId="166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7" fontId="4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6" fontId="5" fillId="0" borderId="1" xfId="0" applyNumberFormat="1" applyFont="1" applyBorder="1" applyAlignment="1">
      <alignment horizontal="left" vertical="center"/>
    </xf>
    <xf numFmtId="167" fontId="5" fillId="0" borderId="1" xfId="0" applyNumberFormat="1" applyFont="1" applyBorder="1" applyAlignment="1">
      <alignment horizontal="left" vertical="center"/>
    </xf>
    <xf numFmtId="0" fontId="4" fillId="0" borderId="1" xfId="0" applyFont="1" applyBorder="1"/>
    <xf numFmtId="167" fontId="4" fillId="0" borderId="11" xfId="0" applyNumberFormat="1" applyFont="1" applyBorder="1" applyAlignment="1">
      <alignment horizontal="left" vertical="center"/>
    </xf>
    <xf numFmtId="167" fontId="4" fillId="0" borderId="12" xfId="0" applyNumberFormat="1" applyFont="1" applyBorder="1" applyAlignment="1">
      <alignment horizontal="left" vertical="center"/>
    </xf>
    <xf numFmtId="0" fontId="12" fillId="4" borderId="0" xfId="0" applyFont="1" applyFill="1"/>
    <xf numFmtId="0" fontId="1" fillId="0" borderId="13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9" fillId="0" borderId="13" xfId="0" applyFont="1" applyBorder="1" applyAlignment="1">
      <alignment horizontal="left"/>
    </xf>
    <xf numFmtId="0" fontId="11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169" fontId="9" fillId="0" borderId="13" xfId="0" applyNumberFormat="1" applyFont="1" applyBorder="1" applyAlignment="1">
      <alignment horizontal="right" vertical="center"/>
    </xf>
    <xf numFmtId="169" fontId="1" fillId="0" borderId="13" xfId="0" applyNumberFormat="1" applyFont="1" applyBorder="1" applyAlignment="1">
      <alignment horizontal="right" vertical="center"/>
    </xf>
    <xf numFmtId="169" fontId="11" fillId="0" borderId="13" xfId="0" applyNumberFormat="1" applyFont="1" applyBorder="1" applyAlignment="1">
      <alignment horizontal="right" vertical="center"/>
    </xf>
    <xf numFmtId="168" fontId="9" fillId="0" borderId="15" xfId="0" applyNumberFormat="1" applyFont="1" applyBorder="1" applyAlignment="1">
      <alignment horizontal="center" vertical="center"/>
    </xf>
    <xf numFmtId="168" fontId="11" fillId="0" borderId="15" xfId="0" applyNumberFormat="1" applyFont="1" applyBorder="1" applyAlignment="1">
      <alignment horizontal="center" vertical="center"/>
    </xf>
    <xf numFmtId="169" fontId="1" fillId="0" borderId="16" xfId="0" applyNumberFormat="1" applyFont="1" applyBorder="1" applyAlignment="1">
      <alignment horizontal="right" vertical="center"/>
    </xf>
    <xf numFmtId="169" fontId="9" fillId="0" borderId="16" xfId="0" applyNumberFormat="1" applyFont="1" applyBorder="1" applyAlignment="1">
      <alignment horizontal="right" vertical="center"/>
    </xf>
    <xf numFmtId="169" fontId="11" fillId="0" borderId="16" xfId="0" applyNumberFormat="1" applyFont="1" applyBorder="1" applyAlignment="1">
      <alignment horizontal="right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168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169" fontId="9" fillId="0" borderId="21" xfId="0" applyNumberFormat="1" applyFont="1" applyBorder="1" applyAlignment="1">
      <alignment horizontal="right" vertical="center"/>
    </xf>
    <xf numFmtId="0" fontId="1" fillId="0" borderId="21" xfId="0" applyFont="1" applyBorder="1" applyAlignment="1">
      <alignment horizontal="center" vertical="center"/>
    </xf>
    <xf numFmtId="169" fontId="1" fillId="0" borderId="22" xfId="0" applyNumberFormat="1" applyFont="1" applyBorder="1" applyAlignment="1">
      <alignment horizontal="right" vertical="center"/>
    </xf>
    <xf numFmtId="166" fontId="4" fillId="0" borderId="23" xfId="0" applyNumberFormat="1" applyFont="1" applyBorder="1" applyAlignment="1">
      <alignment horizontal="left" vertical="center"/>
    </xf>
    <xf numFmtId="166" fontId="5" fillId="0" borderId="23" xfId="0" applyNumberFormat="1" applyFont="1" applyBorder="1" applyAlignment="1">
      <alignment horizontal="left" vertical="center"/>
    </xf>
    <xf numFmtId="166" fontId="4" fillId="0" borderId="27" xfId="0" applyNumberFormat="1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167" fontId="4" fillId="0" borderId="28" xfId="0" applyNumberFormat="1" applyFont="1" applyBorder="1" applyAlignment="1">
      <alignment horizontal="left" vertical="center"/>
    </xf>
    <xf numFmtId="0" fontId="6" fillId="5" borderId="24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6" fillId="5" borderId="26" xfId="0" applyFont="1" applyFill="1" applyBorder="1" applyAlignment="1">
      <alignment horizontal="center" vertical="center"/>
    </xf>
    <xf numFmtId="169" fontId="4" fillId="0" borderId="14" xfId="0" applyNumberFormat="1" applyFont="1" applyBorder="1" applyAlignment="1">
      <alignment horizontal="left" vertical="center"/>
    </xf>
    <xf numFmtId="169" fontId="5" fillId="0" borderId="14" xfId="0" applyNumberFormat="1" applyFont="1" applyBorder="1" applyAlignment="1">
      <alignment horizontal="left" vertical="center"/>
    </xf>
    <xf numFmtId="169" fontId="4" fillId="0" borderId="29" xfId="0" applyNumberFormat="1" applyFont="1" applyBorder="1" applyAlignment="1">
      <alignment horizontal="left" vertical="center"/>
    </xf>
    <xf numFmtId="169" fontId="4" fillId="0" borderId="1" xfId="0" applyNumberFormat="1" applyFont="1" applyBorder="1" applyAlignment="1">
      <alignment horizontal="left" vertical="center"/>
    </xf>
    <xf numFmtId="169" fontId="5" fillId="0" borderId="1" xfId="0" applyNumberFormat="1" applyFont="1" applyBorder="1" applyAlignment="1">
      <alignment horizontal="left" vertical="center"/>
    </xf>
    <xf numFmtId="169" fontId="4" fillId="0" borderId="28" xfId="0" applyNumberFormat="1" applyFont="1" applyBorder="1" applyAlignment="1">
      <alignment horizontal="left" vertical="center"/>
    </xf>
    <xf numFmtId="0" fontId="6" fillId="6" borderId="1" xfId="0" applyFont="1" applyFill="1" applyBorder="1"/>
    <xf numFmtId="0" fontId="6" fillId="5" borderId="1" xfId="0" applyFont="1" applyFill="1" applyBorder="1"/>
    <xf numFmtId="169" fontId="14" fillId="2" borderId="1" xfId="0" applyNumberFormat="1" applyFont="1" applyFill="1" applyBorder="1"/>
    <xf numFmtId="167" fontId="14" fillId="2" borderId="1" xfId="0" applyNumberFormat="1" applyFont="1" applyFill="1" applyBorder="1"/>
    <xf numFmtId="0" fontId="16" fillId="2" borderId="1" xfId="0" applyFont="1" applyFill="1" applyBorder="1"/>
    <xf numFmtId="0" fontId="17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4" borderId="0" xfId="0" applyFill="1"/>
    <xf numFmtId="0" fontId="18" fillId="4" borderId="0" xfId="0" applyFont="1" applyFill="1"/>
    <xf numFmtId="16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8" fillId="7" borderId="0" xfId="0" applyFont="1" applyFill="1"/>
    <xf numFmtId="169" fontId="8" fillId="7" borderId="0" xfId="0" applyNumberFormat="1" applyFont="1" applyFill="1"/>
    <xf numFmtId="0" fontId="8" fillId="7" borderId="0" xfId="0" applyFont="1" applyFill="1" applyAlignment="1">
      <alignment horizontal="left"/>
    </xf>
    <xf numFmtId="0" fontId="8" fillId="7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169" fontId="19" fillId="8" borderId="1" xfId="0" applyNumberFormat="1" applyFont="1" applyFill="1" applyBorder="1" applyAlignment="1">
      <alignment horizontal="center" vertical="center"/>
    </xf>
    <xf numFmtId="169" fontId="4" fillId="0" borderId="1" xfId="0" applyNumberFormat="1" applyFont="1" applyBorder="1"/>
    <xf numFmtId="169" fontId="4" fillId="2" borderId="1" xfId="0" applyNumberFormat="1" applyFont="1" applyFill="1" applyBorder="1" applyAlignment="1">
      <alignment horizontal="left" vertical="center"/>
    </xf>
    <xf numFmtId="0" fontId="13" fillId="5" borderId="2" xfId="0" applyFont="1" applyFill="1" applyBorder="1" applyAlignment="1">
      <alignment horizontal="center"/>
    </xf>
    <xf numFmtId="0" fontId="15" fillId="3" borderId="3" xfId="0" applyFont="1" applyFill="1" applyBorder="1"/>
    <xf numFmtId="0" fontId="15" fillId="3" borderId="4" xfId="0" applyFont="1" applyFill="1" applyBorder="1"/>
    <xf numFmtId="0" fontId="6" fillId="6" borderId="5" xfId="0" applyFont="1" applyFill="1" applyBorder="1" applyAlignment="1">
      <alignment horizontal="center"/>
    </xf>
    <xf numFmtId="0" fontId="7" fillId="3" borderId="6" xfId="0" applyFont="1" applyFill="1" applyBorder="1"/>
    <xf numFmtId="0" fontId="7" fillId="3" borderId="7" xfId="0" applyFont="1" applyFill="1" applyBorder="1"/>
    <xf numFmtId="0" fontId="6" fillId="5" borderId="2" xfId="0" applyFont="1" applyFill="1" applyBorder="1" applyAlignment="1">
      <alignment horizontal="center"/>
    </xf>
    <xf numFmtId="0" fontId="7" fillId="3" borderId="3" xfId="0" applyFont="1" applyFill="1" applyBorder="1"/>
    <xf numFmtId="0" fontId="7" fillId="3" borderId="4" xfId="0" applyFont="1" applyFill="1" applyBorder="1"/>
    <xf numFmtId="167" fontId="4" fillId="0" borderId="30" xfId="0" applyNumberFormat="1" applyFont="1" applyBorder="1" applyAlignment="1">
      <alignment horizontal="left" vertical="center"/>
    </xf>
    <xf numFmtId="167" fontId="4" fillId="0" borderId="31" xfId="0" applyNumberFormat="1" applyFont="1" applyBorder="1" applyAlignment="1">
      <alignment horizontal="left" vertical="center"/>
    </xf>
    <xf numFmtId="166" fontId="20" fillId="9" borderId="13" xfId="0" applyNumberFormat="1" applyFont="1" applyFill="1" applyBorder="1" applyAlignment="1">
      <alignment horizontal="center" vertical="center"/>
    </xf>
    <xf numFmtId="0" fontId="21" fillId="9" borderId="13" xfId="0" applyFont="1" applyFill="1" applyBorder="1"/>
    <xf numFmtId="167" fontId="20" fillId="9" borderId="13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3" fillId="3" borderId="1" xfId="0" applyFont="1" applyFill="1" applyBorder="1"/>
    <xf numFmtId="0" fontId="6" fillId="5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169" fontId="4" fillId="0" borderId="12" xfId="0" applyNumberFormat="1" applyFont="1" applyBorder="1" applyAlignment="1">
      <alignment horizontal="left" vertical="center"/>
    </xf>
    <xf numFmtId="169" fontId="20" fillId="9" borderId="1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#,##0&quot; EGP&quot;"/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_(* #,##0_);_(* \(#,##0\);_(* &quot;-&quot;??_);_(@_)"/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#,##0&quot; EGP&quot;"/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[$-409]d\-mmm\-yy"/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333F4F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family val="2"/>
      </font>
    </dxf>
    <dxf>
      <fill>
        <patternFill>
          <bgColor rgb="FFAAEAB0"/>
        </patternFill>
      </fill>
    </dxf>
    <dxf>
      <fill>
        <patternFill patternType="solid">
          <bgColor rgb="FF9AFA9C"/>
        </patternFill>
      </fill>
    </dxf>
    <dxf>
      <alignment horizontal="center"/>
    </dxf>
    <dxf>
      <alignment horizontal="center"/>
    </dxf>
    <dxf>
      <alignment vertical="center"/>
    </dxf>
    <dxf>
      <numFmt numFmtId="0" formatCode="General"/>
    </dxf>
    <dxf>
      <numFmt numFmtId="169" formatCode="#,##0&quot; EGP&quot;"/>
    </dxf>
    <dxf>
      <numFmt numFmtId="169" formatCode="#,##0&quot; EGP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#,##0&quot; EGP&quot;"/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_(* #,##0_);_(* \(#,##0\);_(* &quot;-&quot;??_);_(@_)"/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#,##0&quot; EGP&quot;"/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[$-409]d\-mmm\-yy"/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333F4F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#,##0&quot; EGP&quot;"/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_(* #,##0_);_(* \(#,##0\);_(* &quot;-&quot;??_);_(@_)"/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#,##0&quot; EGP&quot;"/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[$-409]d\-mmm\-yy"/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333F4F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#,##0&quot; EGP&quot;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8" formatCode="dd\-mmm\-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AAEAB0"/>
      <color rgb="FFA1F3A9"/>
      <color rgb="FF9AFA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1.418200462962" createdVersion="8" refreshedVersion="8" minRefreshableVersion="3" recordCount="30" xr:uid="{56452FB7-79A7-4AA2-AA08-ED59E20D00E1}">
  <cacheSource type="worksheet">
    <worksheetSource ref="A5:F35" sheet="Task 5"/>
  </cacheSource>
  <cacheFields count="6">
    <cacheField name="Order Date" numFmtId="166">
      <sharedItems containsSemiMixedTypes="0" containsNonDate="0" containsDate="1" containsString="0" minDate="2019-05-01T00:00:00" maxDate="2019-05-31T00:00:00"/>
    </cacheField>
    <cacheField name="Sales Agent Name" numFmtId="0">
      <sharedItems count="6">
        <s v="Ahmed"/>
        <s v="Hossam"/>
        <s v="Abdullah"/>
        <s v="Mona"/>
        <s v="Farida"/>
        <s v="Ali"/>
      </sharedItems>
    </cacheField>
    <cacheField name="Car Type" numFmtId="0">
      <sharedItems count="5">
        <s v="Toyota"/>
        <s v="Jeep"/>
        <s v="Volkswagen"/>
        <s v="BMW"/>
        <s v="Kia"/>
      </sharedItems>
    </cacheField>
    <cacheField name="Car price" numFmtId="165">
      <sharedItems containsSemiMixedTypes="0" containsString="0" containsNumber="1" containsInteger="1" minValue="375000" maxValue="790000"/>
    </cacheField>
    <cacheField name="Count" numFmtId="167">
      <sharedItems containsSemiMixedTypes="0" containsString="0" containsNumber="1" containsInteger="1" minValue="1" maxValue="3"/>
    </cacheField>
    <cacheField name="Total Sales" numFmtId="165">
      <sharedItems containsSemiMixedTypes="0" containsString="0" containsNumber="1" containsInteger="1" minValue="375000" maxValue="237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19-05-01T00:00:00"/>
    <x v="0"/>
    <x v="0"/>
    <n v="590000"/>
    <n v="1"/>
    <n v="590000"/>
  </r>
  <r>
    <d v="2019-05-02T00:00:00"/>
    <x v="1"/>
    <x v="1"/>
    <n v="750000"/>
    <n v="2"/>
    <n v="1500000"/>
  </r>
  <r>
    <d v="2019-05-03T00:00:00"/>
    <x v="2"/>
    <x v="0"/>
    <n v="590000"/>
    <n v="1"/>
    <n v="590000"/>
  </r>
  <r>
    <d v="2019-05-04T00:00:00"/>
    <x v="3"/>
    <x v="2"/>
    <n v="460000"/>
    <n v="1"/>
    <n v="460000"/>
  </r>
  <r>
    <d v="2019-05-05T00:00:00"/>
    <x v="4"/>
    <x v="3"/>
    <n v="790000"/>
    <n v="3"/>
    <n v="2370000"/>
  </r>
  <r>
    <d v="2019-05-06T00:00:00"/>
    <x v="0"/>
    <x v="4"/>
    <n v="375000"/>
    <n v="2"/>
    <n v="750000"/>
  </r>
  <r>
    <d v="2019-05-07T00:00:00"/>
    <x v="1"/>
    <x v="0"/>
    <n v="590000"/>
    <n v="3"/>
    <n v="1770000"/>
  </r>
  <r>
    <d v="2019-05-08T00:00:00"/>
    <x v="0"/>
    <x v="1"/>
    <n v="750000"/>
    <n v="2"/>
    <n v="1500000"/>
  </r>
  <r>
    <d v="2019-05-09T00:00:00"/>
    <x v="3"/>
    <x v="0"/>
    <n v="590000"/>
    <n v="3"/>
    <n v="1770000"/>
  </r>
  <r>
    <d v="2019-05-10T00:00:00"/>
    <x v="2"/>
    <x v="1"/>
    <n v="750000"/>
    <n v="2"/>
    <n v="1500000"/>
  </r>
  <r>
    <d v="2019-05-11T00:00:00"/>
    <x v="1"/>
    <x v="2"/>
    <n v="460000"/>
    <n v="1"/>
    <n v="460000"/>
  </r>
  <r>
    <d v="2019-05-12T00:00:00"/>
    <x v="3"/>
    <x v="2"/>
    <n v="460000"/>
    <n v="1"/>
    <n v="460000"/>
  </r>
  <r>
    <d v="2019-05-13T00:00:00"/>
    <x v="4"/>
    <x v="1"/>
    <n v="750000"/>
    <n v="1"/>
    <n v="750000"/>
  </r>
  <r>
    <d v="2019-05-14T00:00:00"/>
    <x v="4"/>
    <x v="0"/>
    <n v="590000"/>
    <n v="2"/>
    <n v="1180000"/>
  </r>
  <r>
    <d v="2019-05-15T00:00:00"/>
    <x v="0"/>
    <x v="4"/>
    <n v="375000"/>
    <n v="2"/>
    <n v="750000"/>
  </r>
  <r>
    <d v="2019-05-16T00:00:00"/>
    <x v="1"/>
    <x v="3"/>
    <n v="790000"/>
    <n v="1"/>
    <n v="790000"/>
  </r>
  <r>
    <d v="2019-05-17T00:00:00"/>
    <x v="2"/>
    <x v="3"/>
    <n v="790000"/>
    <n v="1"/>
    <n v="790000"/>
  </r>
  <r>
    <d v="2019-05-18T00:00:00"/>
    <x v="5"/>
    <x v="0"/>
    <n v="590000"/>
    <n v="2"/>
    <n v="1180000"/>
  </r>
  <r>
    <d v="2019-05-19T00:00:00"/>
    <x v="1"/>
    <x v="4"/>
    <n v="375000"/>
    <n v="2"/>
    <n v="750000"/>
  </r>
  <r>
    <d v="2019-05-20T00:00:00"/>
    <x v="5"/>
    <x v="0"/>
    <n v="590000"/>
    <n v="1"/>
    <n v="590000"/>
  </r>
  <r>
    <d v="2019-05-21T00:00:00"/>
    <x v="4"/>
    <x v="1"/>
    <n v="750000"/>
    <n v="1"/>
    <n v="750000"/>
  </r>
  <r>
    <d v="2019-05-22T00:00:00"/>
    <x v="2"/>
    <x v="2"/>
    <n v="460000"/>
    <n v="1"/>
    <n v="460000"/>
  </r>
  <r>
    <d v="2019-05-23T00:00:00"/>
    <x v="2"/>
    <x v="2"/>
    <n v="460000"/>
    <n v="3"/>
    <n v="1380000"/>
  </r>
  <r>
    <d v="2019-05-24T00:00:00"/>
    <x v="4"/>
    <x v="4"/>
    <n v="375000"/>
    <n v="1"/>
    <n v="375000"/>
  </r>
  <r>
    <d v="2019-05-25T00:00:00"/>
    <x v="0"/>
    <x v="3"/>
    <n v="790000"/>
    <n v="2"/>
    <n v="1580000"/>
  </r>
  <r>
    <d v="2019-05-26T00:00:00"/>
    <x v="3"/>
    <x v="0"/>
    <n v="590000"/>
    <n v="1"/>
    <n v="590000"/>
  </r>
  <r>
    <d v="2019-05-27T00:00:00"/>
    <x v="1"/>
    <x v="4"/>
    <n v="375000"/>
    <n v="2"/>
    <n v="750000"/>
  </r>
  <r>
    <d v="2019-05-28T00:00:00"/>
    <x v="0"/>
    <x v="0"/>
    <n v="590000"/>
    <n v="3"/>
    <n v="1770000"/>
  </r>
  <r>
    <d v="2019-05-29T00:00:00"/>
    <x v="1"/>
    <x v="1"/>
    <n v="750000"/>
    <n v="1"/>
    <n v="750000"/>
  </r>
  <r>
    <d v="2019-05-30T00:00:00"/>
    <x v="5"/>
    <x v="2"/>
    <n v="460000"/>
    <n v="1"/>
    <n v="46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6EE402-58B4-4648-9F64-DEB842675CE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5:K12" firstHeaderRow="0" firstDataRow="1" firstDataCol="1"/>
  <pivotFields count="6">
    <pivotField dataField="1" numFmtId="166" showAll="0"/>
    <pivotField axis="axisRow" showAll="0" sortType="descending">
      <items count="7">
        <item x="2"/>
        <item x="0"/>
        <item x="5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3"/>
        <item x="1"/>
        <item x="4"/>
        <item x="0"/>
        <item x="2"/>
        <item t="default"/>
      </items>
    </pivotField>
    <pivotField numFmtId="165" showAll="0"/>
    <pivotField numFmtId="167" showAll="0"/>
    <pivotField dataField="1" numFmtId="165" showAll="0"/>
  </pivotFields>
  <rowFields count="1">
    <field x="1"/>
  </rowFields>
  <rowItems count="7">
    <i>
      <x v="1"/>
    </i>
    <i>
      <x v="4"/>
    </i>
    <i>
      <x v="3"/>
    </i>
    <i>
      <x/>
    </i>
    <i>
      <x v="5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 Total Sales" fld="5" baseField="1" baseItem="1" numFmtId="165"/>
    <dataField name="Number of Order" fld="0" subtotal="count" baseField="1" baseItem="1"/>
  </dataFields>
  <formats count="9">
    <format dxfId="24">
      <pivotArea collapsedLevelsAreSubtotals="1" fieldPosition="0">
        <references count="1">
          <reference field="1" count="1">
            <x v="1"/>
          </reference>
        </references>
      </pivotArea>
    </format>
    <format dxfId="23">
      <pivotArea collapsedLevelsAreSubtotals="1" fieldPosition="0">
        <references count="1">
          <reference field="1" count="5">
            <x v="0"/>
            <x v="2"/>
            <x v="3"/>
            <x v="4"/>
            <x v="5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  <format dxfId="21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  <format dxfId="20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  <format dxfId="19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8">
      <pivotArea dataOnly="0" fieldPosition="0">
        <references count="1">
          <reference field="1" count="1">
            <x v="1"/>
          </reference>
        </references>
      </pivotArea>
    </format>
    <format dxfId="17">
      <pivotArea dataOnly="0" fieldPosition="0">
        <references count="1">
          <reference field="1" count="1">
            <x v="1"/>
          </reference>
        </references>
      </pivotArea>
    </format>
    <format dxfId="16">
      <pivotArea dataOnly="0" fieldPosition="0">
        <references count="1">
          <reference field="1" count="1">
            <x v="1"/>
          </reference>
        </references>
      </pivotArea>
    </format>
  </format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D848C5-00DF-42AF-A99D-CA7BC1602E1F}" name="Table2" displayName="Table2" ref="A5:F35" totalsRowShown="0" headerRowDxfId="52" headerRowBorderDxfId="51" tableBorderDxfId="50" totalsRowBorderDxfId="49">
  <autoFilter ref="A5:F35" xr:uid="{1ED848C5-00DF-42AF-A99D-CA7BC1602E1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7D9E172-4E09-4CCB-8AEF-BBF15A1A008F}" name="Order Date" dataDxfId="48"/>
    <tableColumn id="2" xr3:uid="{B652701A-9FE5-40A4-8CBF-3600596FD842}" name="Sales Agent Name"/>
    <tableColumn id="3" xr3:uid="{735C7990-3E3E-424E-AF62-10BC40AA8EC1}" name="Car Type" dataDxfId="47"/>
    <tableColumn id="4" xr3:uid="{659123AF-82DB-464A-9FF5-B4B1354838AF}" name="Car price"/>
    <tableColumn id="5" xr3:uid="{1899BF36-60EA-4BEA-85CE-36CCEAFF1EBF}" name="Count" dataDxfId="46"/>
    <tableColumn id="6" xr3:uid="{33136BA4-4E4F-4597-BA59-50A13C68511F}" name="Total Sales" dataDxfId="45">
      <calculatedColumnFormula>D6*E6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B511DE-7AA7-48A7-91D1-AA6CC7397143}" name="Table5" displayName="Table5" ref="A5:F35" totalsRowShown="0" headerRowDxfId="44" headerRowBorderDxfId="43" tableBorderDxfId="42" totalsRowBorderDxfId="41">
  <autoFilter ref="A5:F35" xr:uid="{C1B511DE-7AA7-48A7-91D1-AA6CC739714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7A2DAA3-B8AE-470B-AE32-3A4234A2F00B}" name="Order Date" dataDxfId="40"/>
    <tableColumn id="2" xr3:uid="{EE3CF74B-204D-4523-96D1-2E5E8CB2348A}" name="Sales Agent Name" dataDxfId="39"/>
    <tableColumn id="3" xr3:uid="{2324D90B-2972-4855-8CC3-F2F3D0C5F8D6}" name="Car Type" dataDxfId="38"/>
    <tableColumn id="4" xr3:uid="{BE5541D7-EC64-42AE-864B-29539CBE224D}" name="Car price" dataDxfId="37"/>
    <tableColumn id="5" xr3:uid="{E6198733-D98E-449B-8455-86D24855459B}" name="Count" dataDxfId="36"/>
    <tableColumn id="6" xr3:uid="{ACCF275F-673F-45AA-8F9D-8EB914CB0D00}" name="Total Sales" dataDxfId="35">
      <calculatedColumnFormula>D6*E6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E140F85-D468-4E31-8814-0BDF0E730383}" name="Table6" displayName="Table6" ref="A5:F35" totalsRowShown="0" headerRowDxfId="34" headerRowBorderDxfId="33" tableBorderDxfId="32" totalsRowBorderDxfId="31">
  <autoFilter ref="A5:F35" xr:uid="{7E140F85-D468-4E31-8814-0BDF0E73038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E9A6034-6977-4D70-800C-E5FCD7148B80}" name="Order Date" dataDxfId="30"/>
    <tableColumn id="2" xr3:uid="{A22D0893-E149-46F0-A5C9-933A5F41BC4B}" name="Sales Agent Name" dataDxfId="29"/>
    <tableColumn id="3" xr3:uid="{6DDB8CDA-B576-487F-9777-FE8DC9523DCC}" name="Car Type" dataDxfId="28"/>
    <tableColumn id="4" xr3:uid="{34DECCAA-8CE0-4B90-A5C6-F8551E9F6A96}" name="Car price" dataDxfId="27"/>
    <tableColumn id="5" xr3:uid="{BB0B56B5-793B-4074-B43C-1954432B04FD}" name="Count" dataDxfId="26"/>
    <tableColumn id="6" xr3:uid="{C92BB653-4DBE-4B2A-B4BE-C410FCF98E0E}" name="Total Sales" dataDxfId="25">
      <calculatedColumnFormula>D6*E6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5E96445-32AD-4465-89CE-939C89CB16EA}" name="Table7" displayName="Table7" ref="A5:F35" totalsRowShown="0" headerRowDxfId="15" headerRowBorderDxfId="14" tableBorderDxfId="13" totalsRowBorderDxfId="12">
  <autoFilter ref="A5:F35" xr:uid="{F5E96445-32AD-4465-89CE-939C89CB16E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8669518-3153-47BB-8B16-A93B624FE4B4}" name="Order Date" dataDxfId="11"/>
    <tableColumn id="2" xr3:uid="{51DF7FF4-FA71-4CD1-905A-8D64BDD09160}" name="Sales Agent Name" dataDxfId="10"/>
    <tableColumn id="3" xr3:uid="{037161F1-15D9-4B15-AB84-64CCCD383F3A}" name="Car Type" dataDxfId="9"/>
    <tableColumn id="4" xr3:uid="{120D4A5A-DE25-42C1-AFA8-7DBC6DC521A2}" name="Car price" dataDxfId="8"/>
    <tableColumn id="5" xr3:uid="{411E1712-164C-4339-89D0-E3C8BE59AC52}" name="Count" dataDxfId="7"/>
    <tableColumn id="6" xr3:uid="{9CDB7FA4-399F-420A-B1CA-97345352769A}" name="Total Sales" dataDxfId="6">
      <calculatedColumnFormula>D6*E6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opLeftCell="A16" zoomScale="95" workbookViewId="0">
      <selection activeCell="H22" sqref="H22"/>
    </sheetView>
  </sheetViews>
  <sheetFormatPr defaultColWidth="14.44140625" defaultRowHeight="15" customHeight="1"/>
  <cols>
    <col min="1" max="1" width="15.77734375" customWidth="1"/>
    <col min="2" max="2" width="22.77734375" bestFit="1" customWidth="1"/>
    <col min="3" max="3" width="13.6640625" bestFit="1" customWidth="1"/>
    <col min="4" max="4" width="14.6640625" bestFit="1" customWidth="1"/>
    <col min="5" max="5" width="11.21875" bestFit="1" customWidth="1"/>
    <col min="6" max="6" width="15.21875" bestFit="1" customWidth="1"/>
    <col min="7" max="11" width="8.77734375" customWidth="1"/>
    <col min="12" max="12" width="11.6640625" customWidth="1"/>
    <col min="13" max="13" width="7" customWidth="1"/>
    <col min="14" max="18" width="8.77734375" customWidth="1"/>
    <col min="19" max="19" width="13" customWidth="1"/>
    <col min="20" max="20" width="17.21875" customWidth="1"/>
    <col min="21" max="21" width="12.21875" customWidth="1"/>
    <col min="22" max="22" width="12" customWidth="1"/>
    <col min="23" max="23" width="6.33203125" customWidth="1"/>
    <col min="24" max="24" width="13.6640625" customWidth="1"/>
    <col min="25" max="25" width="14.109375" customWidth="1"/>
    <col min="26" max="26" width="8.77734375" customWidth="1"/>
  </cols>
  <sheetData>
    <row r="1" spans="1:25" ht="14.4">
      <c r="A1" s="1" t="s">
        <v>0</v>
      </c>
    </row>
    <row r="3" spans="1:25" ht="12" customHeight="1"/>
    <row r="4" spans="1:25" ht="15" customHeight="1">
      <c r="A4" s="14" t="s">
        <v>1</v>
      </c>
    </row>
    <row r="5" spans="1:25" ht="15.6">
      <c r="A5" s="30" t="s">
        <v>2</v>
      </c>
      <c r="B5" s="31" t="s">
        <v>3</v>
      </c>
      <c r="C5" s="31" t="s">
        <v>4</v>
      </c>
      <c r="D5" s="31" t="s">
        <v>5</v>
      </c>
      <c r="E5" s="31" t="s">
        <v>6</v>
      </c>
      <c r="F5" s="32" t="s">
        <v>7</v>
      </c>
    </row>
    <row r="6" spans="1:25" ht="14.4">
      <c r="A6" s="25">
        <v>43586</v>
      </c>
      <c r="B6" s="15" t="s">
        <v>8</v>
      </c>
      <c r="C6" s="15" t="s">
        <v>9</v>
      </c>
      <c r="D6" s="22">
        <v>590000</v>
      </c>
      <c r="E6" s="16">
        <v>1</v>
      </c>
      <c r="F6" s="27">
        <f t="shared" ref="F6:F35" si="0">D6*E6</f>
        <v>590000</v>
      </c>
      <c r="Y6" s="3"/>
    </row>
    <row r="7" spans="1:25" ht="14.4">
      <c r="A7" s="25">
        <v>43587</v>
      </c>
      <c r="B7" s="15" t="s">
        <v>10</v>
      </c>
      <c r="C7" s="18" t="s">
        <v>11</v>
      </c>
      <c r="D7" s="23">
        <v>750000</v>
      </c>
      <c r="E7" s="16">
        <v>2</v>
      </c>
      <c r="F7" s="27">
        <f t="shared" si="0"/>
        <v>1500000</v>
      </c>
      <c r="Y7" s="3"/>
    </row>
    <row r="8" spans="1:25" ht="14.4">
      <c r="A8" s="25">
        <v>43588</v>
      </c>
      <c r="B8" s="18" t="s">
        <v>12</v>
      </c>
      <c r="C8" s="15" t="s">
        <v>9</v>
      </c>
      <c r="D8" s="22">
        <v>590000</v>
      </c>
      <c r="E8" s="16">
        <v>1</v>
      </c>
      <c r="F8" s="28">
        <f t="shared" si="0"/>
        <v>590000</v>
      </c>
      <c r="Y8" s="3"/>
    </row>
    <row r="9" spans="1:25" ht="14.4">
      <c r="A9" s="25">
        <v>43589</v>
      </c>
      <c r="B9" s="19" t="s">
        <v>13</v>
      </c>
      <c r="C9" s="15" t="s">
        <v>14</v>
      </c>
      <c r="D9" s="22">
        <v>460000</v>
      </c>
      <c r="E9" s="16">
        <v>1</v>
      </c>
      <c r="F9" s="27">
        <f t="shared" si="0"/>
        <v>460000</v>
      </c>
      <c r="Y9" s="3"/>
    </row>
    <row r="10" spans="1:25" ht="14.4">
      <c r="A10" s="25">
        <v>43590</v>
      </c>
      <c r="B10" s="15" t="s">
        <v>15</v>
      </c>
      <c r="C10" s="21" t="s">
        <v>16</v>
      </c>
      <c r="D10" s="24">
        <v>790000</v>
      </c>
      <c r="E10" s="16">
        <v>3</v>
      </c>
      <c r="F10" s="28">
        <f t="shared" si="0"/>
        <v>2370000</v>
      </c>
      <c r="Y10" s="3"/>
    </row>
    <row r="11" spans="1:25" ht="14.4">
      <c r="A11" s="25">
        <v>43591</v>
      </c>
      <c r="B11" s="18" t="s">
        <v>8</v>
      </c>
      <c r="C11" s="15" t="s">
        <v>17</v>
      </c>
      <c r="D11" s="22">
        <v>375000</v>
      </c>
      <c r="E11" s="16">
        <v>2</v>
      </c>
      <c r="F11" s="28">
        <f t="shared" si="0"/>
        <v>750000</v>
      </c>
      <c r="Y11" s="3"/>
    </row>
    <row r="12" spans="1:25" ht="14.4">
      <c r="A12" s="25">
        <v>43592</v>
      </c>
      <c r="B12" s="18" t="s">
        <v>10</v>
      </c>
      <c r="C12" s="18" t="s">
        <v>9</v>
      </c>
      <c r="D12" s="24">
        <v>590000</v>
      </c>
      <c r="E12" s="16">
        <v>3</v>
      </c>
      <c r="F12" s="27">
        <f t="shared" si="0"/>
        <v>1770000</v>
      </c>
      <c r="Y12" s="3"/>
    </row>
    <row r="13" spans="1:25" ht="14.4">
      <c r="A13" s="25">
        <v>43593</v>
      </c>
      <c r="B13" s="18" t="s">
        <v>8</v>
      </c>
      <c r="C13" s="15" t="s">
        <v>11</v>
      </c>
      <c r="D13" s="22">
        <v>750000</v>
      </c>
      <c r="E13" s="16">
        <v>2</v>
      </c>
      <c r="F13" s="28">
        <f t="shared" si="0"/>
        <v>1500000</v>
      </c>
      <c r="Y13" s="3"/>
    </row>
    <row r="14" spans="1:25" ht="14.4">
      <c r="A14" s="26">
        <v>43594</v>
      </c>
      <c r="B14" s="21" t="s">
        <v>13</v>
      </c>
      <c r="C14" s="15" t="s">
        <v>9</v>
      </c>
      <c r="D14" s="24">
        <v>590000</v>
      </c>
      <c r="E14" s="17">
        <v>3</v>
      </c>
      <c r="F14" s="29">
        <f t="shared" si="0"/>
        <v>1770000</v>
      </c>
      <c r="Y14" s="3"/>
    </row>
    <row r="15" spans="1:25" ht="14.4">
      <c r="A15" s="25">
        <v>43595</v>
      </c>
      <c r="B15" s="18" t="s">
        <v>12</v>
      </c>
      <c r="C15" s="18" t="s">
        <v>11</v>
      </c>
      <c r="D15" s="22">
        <v>750000</v>
      </c>
      <c r="E15" s="17">
        <v>2</v>
      </c>
      <c r="F15" s="28">
        <f t="shared" si="0"/>
        <v>1500000</v>
      </c>
      <c r="Y15" s="3"/>
    </row>
    <row r="16" spans="1:25" ht="14.4">
      <c r="A16" s="25">
        <v>43596</v>
      </c>
      <c r="B16" s="18" t="s">
        <v>10</v>
      </c>
      <c r="C16" s="21" t="s">
        <v>14</v>
      </c>
      <c r="D16" s="22">
        <v>460000</v>
      </c>
      <c r="E16" s="17">
        <v>1</v>
      </c>
      <c r="F16" s="29">
        <f t="shared" si="0"/>
        <v>460000</v>
      </c>
      <c r="Y16" s="3"/>
    </row>
    <row r="17" spans="1:25" ht="14.4">
      <c r="A17" s="25">
        <v>43597</v>
      </c>
      <c r="B17" s="21" t="s">
        <v>13</v>
      </c>
      <c r="C17" s="15" t="s">
        <v>14</v>
      </c>
      <c r="D17" s="22">
        <v>460000</v>
      </c>
      <c r="E17" s="20">
        <v>1</v>
      </c>
      <c r="F17" s="28">
        <f t="shared" si="0"/>
        <v>460000</v>
      </c>
      <c r="Y17" s="3"/>
    </row>
    <row r="18" spans="1:25" ht="14.4">
      <c r="A18" s="25">
        <v>43598</v>
      </c>
      <c r="B18" s="18" t="s">
        <v>15</v>
      </c>
      <c r="C18" s="21" t="s">
        <v>11</v>
      </c>
      <c r="D18" s="24">
        <v>750000</v>
      </c>
      <c r="E18" s="16">
        <v>1</v>
      </c>
      <c r="F18" s="28">
        <f t="shared" si="0"/>
        <v>750000</v>
      </c>
      <c r="Y18" s="3"/>
    </row>
    <row r="19" spans="1:25" ht="14.4">
      <c r="A19" s="25">
        <v>43599</v>
      </c>
      <c r="B19" s="21" t="s">
        <v>15</v>
      </c>
      <c r="C19" s="18" t="s">
        <v>9</v>
      </c>
      <c r="D19" s="22">
        <v>590000</v>
      </c>
      <c r="E19" s="20">
        <v>2</v>
      </c>
      <c r="F19" s="28">
        <f t="shared" si="0"/>
        <v>1180000</v>
      </c>
      <c r="Y19" s="3"/>
    </row>
    <row r="20" spans="1:25" ht="14.4">
      <c r="A20" s="26">
        <v>43600</v>
      </c>
      <c r="B20" s="18" t="s">
        <v>8</v>
      </c>
      <c r="C20" s="15" t="s">
        <v>17</v>
      </c>
      <c r="D20" s="22">
        <v>375000</v>
      </c>
      <c r="E20" s="17">
        <v>2</v>
      </c>
      <c r="F20" s="27">
        <f t="shared" si="0"/>
        <v>750000</v>
      </c>
      <c r="Y20" s="3"/>
    </row>
    <row r="21" spans="1:25" ht="15.75" customHeight="1">
      <c r="A21" s="25">
        <v>43601</v>
      </c>
      <c r="B21" s="15" t="s">
        <v>10</v>
      </c>
      <c r="C21" s="15" t="s">
        <v>16</v>
      </c>
      <c r="D21" s="23">
        <v>790000</v>
      </c>
      <c r="E21" s="16">
        <v>1</v>
      </c>
      <c r="F21" s="28">
        <f t="shared" si="0"/>
        <v>790000</v>
      </c>
      <c r="Y21" s="3"/>
    </row>
    <row r="22" spans="1:25" ht="15.75" customHeight="1">
      <c r="A22" s="25">
        <v>43602</v>
      </c>
      <c r="B22" s="18" t="s">
        <v>12</v>
      </c>
      <c r="C22" s="18" t="s">
        <v>16</v>
      </c>
      <c r="D22" s="24">
        <v>790000</v>
      </c>
      <c r="E22" s="17">
        <v>1</v>
      </c>
      <c r="F22" s="28">
        <f t="shared" si="0"/>
        <v>790000</v>
      </c>
      <c r="Y22" s="3"/>
    </row>
    <row r="23" spans="1:25" ht="15.75" customHeight="1">
      <c r="A23" s="25">
        <v>43603</v>
      </c>
      <c r="B23" s="18" t="s">
        <v>18</v>
      </c>
      <c r="C23" s="18" t="s">
        <v>9</v>
      </c>
      <c r="D23" s="22">
        <v>590000</v>
      </c>
      <c r="E23" s="16">
        <v>2</v>
      </c>
      <c r="F23" s="29">
        <f t="shared" si="0"/>
        <v>1180000</v>
      </c>
      <c r="Y23" s="3"/>
    </row>
    <row r="24" spans="1:25" ht="15.75" customHeight="1">
      <c r="A24" s="25">
        <v>43604</v>
      </c>
      <c r="B24" s="18" t="s">
        <v>10</v>
      </c>
      <c r="C24" s="15" t="s">
        <v>17</v>
      </c>
      <c r="D24" s="24">
        <v>375000</v>
      </c>
      <c r="E24" s="16">
        <v>1</v>
      </c>
      <c r="F24" s="28">
        <f t="shared" si="0"/>
        <v>375000</v>
      </c>
      <c r="Y24" s="3"/>
    </row>
    <row r="25" spans="1:25" ht="15.75" customHeight="1">
      <c r="A25" s="26">
        <v>43605</v>
      </c>
      <c r="B25" s="18" t="s">
        <v>18</v>
      </c>
      <c r="C25" s="21" t="s">
        <v>9</v>
      </c>
      <c r="D25" s="22">
        <v>590000</v>
      </c>
      <c r="E25" s="16">
        <v>1</v>
      </c>
      <c r="F25" s="28">
        <f t="shared" si="0"/>
        <v>590000</v>
      </c>
      <c r="Y25" s="3"/>
    </row>
    <row r="26" spans="1:25" ht="15.75" customHeight="1">
      <c r="A26" s="25">
        <v>43606</v>
      </c>
      <c r="B26" s="21" t="s">
        <v>15</v>
      </c>
      <c r="C26" s="21" t="s">
        <v>11</v>
      </c>
      <c r="D26" s="22">
        <v>750000</v>
      </c>
      <c r="E26" s="16">
        <v>1</v>
      </c>
      <c r="F26" s="27">
        <f t="shared" si="0"/>
        <v>750000</v>
      </c>
      <c r="Y26" s="3"/>
    </row>
    <row r="27" spans="1:25" ht="15.75" customHeight="1">
      <c r="A27" s="25">
        <v>43607</v>
      </c>
      <c r="B27" s="18" t="s">
        <v>12</v>
      </c>
      <c r="C27" s="15" t="s">
        <v>14</v>
      </c>
      <c r="D27" s="22">
        <v>460000</v>
      </c>
      <c r="E27" s="16">
        <v>1</v>
      </c>
      <c r="F27" s="28">
        <f t="shared" si="0"/>
        <v>460000</v>
      </c>
      <c r="Y27" s="3"/>
    </row>
    <row r="28" spans="1:25" ht="15.75" customHeight="1">
      <c r="A28" s="25">
        <v>43608</v>
      </c>
      <c r="B28" s="18" t="s">
        <v>12</v>
      </c>
      <c r="C28" s="21" t="s">
        <v>14</v>
      </c>
      <c r="D28" s="24">
        <v>460000</v>
      </c>
      <c r="E28" s="17">
        <v>3</v>
      </c>
      <c r="F28" s="28">
        <f t="shared" si="0"/>
        <v>1380000</v>
      </c>
      <c r="Y28" s="3"/>
    </row>
    <row r="29" spans="1:25" ht="15.75" customHeight="1">
      <c r="A29" s="25">
        <v>43609</v>
      </c>
      <c r="B29" s="15" t="s">
        <v>15</v>
      </c>
      <c r="C29" s="18" t="s">
        <v>17</v>
      </c>
      <c r="D29" s="23">
        <v>375000</v>
      </c>
      <c r="E29" s="16">
        <v>1</v>
      </c>
      <c r="F29" s="28">
        <f t="shared" si="0"/>
        <v>375000</v>
      </c>
      <c r="Y29" s="3"/>
    </row>
    <row r="30" spans="1:25" ht="15.75" customHeight="1">
      <c r="A30" s="25">
        <v>43610</v>
      </c>
      <c r="B30" s="18" t="s">
        <v>8</v>
      </c>
      <c r="C30" s="15" t="s">
        <v>16</v>
      </c>
      <c r="D30" s="22">
        <v>790000</v>
      </c>
      <c r="E30" s="16">
        <v>2</v>
      </c>
      <c r="F30" s="28">
        <f t="shared" si="0"/>
        <v>1580000</v>
      </c>
      <c r="Y30" s="3"/>
    </row>
    <row r="31" spans="1:25" ht="15.75" customHeight="1">
      <c r="A31" s="25">
        <v>43611</v>
      </c>
      <c r="B31" s="21" t="s">
        <v>13</v>
      </c>
      <c r="C31" s="15" t="s">
        <v>9</v>
      </c>
      <c r="D31" s="22">
        <v>590000</v>
      </c>
      <c r="E31" s="16">
        <v>1</v>
      </c>
      <c r="F31" s="28">
        <f t="shared" si="0"/>
        <v>590000</v>
      </c>
      <c r="Y31" s="3"/>
    </row>
    <row r="32" spans="1:25" ht="15.75" customHeight="1">
      <c r="A32" s="25">
        <v>43612</v>
      </c>
      <c r="B32" s="18" t="s">
        <v>10</v>
      </c>
      <c r="C32" s="18" t="s">
        <v>17</v>
      </c>
      <c r="D32" s="24">
        <v>375000</v>
      </c>
      <c r="E32" s="16">
        <v>1</v>
      </c>
      <c r="F32" s="29">
        <f t="shared" si="0"/>
        <v>375000</v>
      </c>
      <c r="Y32" s="3"/>
    </row>
    <row r="33" spans="1:25" ht="15.75" customHeight="1">
      <c r="A33" s="26">
        <v>43613</v>
      </c>
      <c r="B33" s="15" t="s">
        <v>8</v>
      </c>
      <c r="C33" s="15" t="s">
        <v>9</v>
      </c>
      <c r="D33" s="23">
        <v>590000</v>
      </c>
      <c r="E33" s="16">
        <v>3</v>
      </c>
      <c r="F33" s="28">
        <f t="shared" si="0"/>
        <v>1770000</v>
      </c>
      <c r="Y33" s="3"/>
    </row>
    <row r="34" spans="1:25" ht="15.75" customHeight="1">
      <c r="A34" s="25">
        <v>43614</v>
      </c>
      <c r="B34" s="15" t="s">
        <v>10</v>
      </c>
      <c r="C34" s="15" t="s">
        <v>11</v>
      </c>
      <c r="D34" s="24">
        <v>750000</v>
      </c>
      <c r="E34" s="16">
        <v>1</v>
      </c>
      <c r="F34" s="28">
        <f t="shared" si="0"/>
        <v>750000</v>
      </c>
      <c r="Y34" s="3"/>
    </row>
    <row r="35" spans="1:25" ht="15.75" customHeight="1">
      <c r="A35" s="33">
        <v>43615</v>
      </c>
      <c r="B35" s="34" t="s">
        <v>18</v>
      </c>
      <c r="C35" s="35" t="s">
        <v>14</v>
      </c>
      <c r="D35" s="36">
        <v>460000</v>
      </c>
      <c r="E35" s="37">
        <v>1</v>
      </c>
      <c r="F35" s="38">
        <f t="shared" si="0"/>
        <v>460000</v>
      </c>
      <c r="Y35" s="3"/>
    </row>
    <row r="36" spans="1:25" ht="15.75" customHeight="1"/>
    <row r="37" spans="1:25" ht="15.75" customHeight="1"/>
    <row r="38" spans="1:25" ht="15.75" customHeight="1"/>
    <row r="39" spans="1:25" ht="15.75" customHeight="1"/>
    <row r="40" spans="1:25" ht="15.75" customHeight="1"/>
    <row r="41" spans="1:25" ht="15.75" customHeight="1"/>
    <row r="42" spans="1:25" ht="15.75" customHeight="1"/>
    <row r="43" spans="1:25" ht="15.75" customHeight="1"/>
    <row r="44" spans="1:25" ht="15.75" customHeight="1"/>
    <row r="45" spans="1:25" ht="15.75" customHeight="1"/>
    <row r="46" spans="1:25" ht="15.75" customHeight="1"/>
    <row r="47" spans="1:25" ht="15.75" customHeight="1"/>
    <row r="48" spans="1:2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topLeftCell="A3" zoomScale="77" workbookViewId="0">
      <selection activeCell="F6" sqref="F6"/>
    </sheetView>
  </sheetViews>
  <sheetFormatPr defaultColWidth="14.44140625" defaultRowHeight="15" customHeight="1"/>
  <cols>
    <col min="1" max="1" width="15.77734375" customWidth="1"/>
    <col min="2" max="2" width="22" bestFit="1" customWidth="1"/>
    <col min="3" max="4" width="14.109375" bestFit="1" customWidth="1"/>
    <col min="5" max="5" width="11.88671875" bestFit="1" customWidth="1"/>
    <col min="6" max="6" width="14.33203125" bestFit="1" customWidth="1"/>
    <col min="7" max="7" width="8.77734375" customWidth="1"/>
    <col min="8" max="8" width="11.44140625" customWidth="1"/>
    <col min="9" max="26" width="8.77734375" customWidth="1"/>
  </cols>
  <sheetData>
    <row r="1" spans="1:8" ht="14.4">
      <c r="A1" s="1" t="s">
        <v>19</v>
      </c>
    </row>
    <row r="4" spans="1:8" ht="14.4">
      <c r="A4" s="76" t="s">
        <v>1</v>
      </c>
      <c r="B4" s="77"/>
      <c r="C4" s="78"/>
    </row>
    <row r="5" spans="1:8" ht="14.4">
      <c r="A5" s="44" t="s">
        <v>2</v>
      </c>
      <c r="B5" s="45" t="s">
        <v>3</v>
      </c>
      <c r="C5" s="45" t="s">
        <v>4</v>
      </c>
      <c r="D5" s="45" t="s">
        <v>5</v>
      </c>
      <c r="E5" s="45" t="s">
        <v>6</v>
      </c>
      <c r="F5" s="46" t="s">
        <v>7</v>
      </c>
    </row>
    <row r="6" spans="1:8" ht="14.4">
      <c r="A6" s="39">
        <v>43586</v>
      </c>
      <c r="B6" s="6" t="s">
        <v>8</v>
      </c>
      <c r="C6" s="6" t="s">
        <v>9</v>
      </c>
      <c r="D6" s="50">
        <v>590000</v>
      </c>
      <c r="E6" s="7">
        <v>1</v>
      </c>
      <c r="F6" s="47">
        <f t="shared" ref="F6:F35" si="0">D6*E6</f>
        <v>590000</v>
      </c>
      <c r="H6" s="4"/>
    </row>
    <row r="7" spans="1:8" ht="14.4">
      <c r="A7" s="39">
        <v>43587</v>
      </c>
      <c r="B7" s="6" t="s">
        <v>10</v>
      </c>
      <c r="C7" s="6" t="s">
        <v>11</v>
      </c>
      <c r="D7" s="50">
        <v>750000</v>
      </c>
      <c r="E7" s="7">
        <v>2</v>
      </c>
      <c r="F7" s="47">
        <f t="shared" si="0"/>
        <v>1500000</v>
      </c>
    </row>
    <row r="8" spans="1:8" ht="14.4">
      <c r="A8" s="39">
        <v>43588</v>
      </c>
      <c r="B8" s="6" t="s">
        <v>12</v>
      </c>
      <c r="C8" s="6" t="s">
        <v>9</v>
      </c>
      <c r="D8" s="50">
        <v>590000</v>
      </c>
      <c r="E8" s="7">
        <v>1</v>
      </c>
      <c r="F8" s="47">
        <f t="shared" si="0"/>
        <v>590000</v>
      </c>
    </row>
    <row r="9" spans="1:8" ht="14.4">
      <c r="A9" s="39">
        <v>43589</v>
      </c>
      <c r="B9" s="6" t="s">
        <v>13</v>
      </c>
      <c r="C9" s="6" t="s">
        <v>14</v>
      </c>
      <c r="D9" s="50">
        <v>460000</v>
      </c>
      <c r="E9" s="7">
        <v>1</v>
      </c>
      <c r="F9" s="47">
        <f t="shared" si="0"/>
        <v>460000</v>
      </c>
    </row>
    <row r="10" spans="1:8" ht="14.4">
      <c r="A10" s="39">
        <v>43590</v>
      </c>
      <c r="B10" s="6" t="s">
        <v>15</v>
      </c>
      <c r="C10" s="8" t="s">
        <v>16</v>
      </c>
      <c r="D10" s="51">
        <v>790000</v>
      </c>
      <c r="E10" s="7">
        <v>3</v>
      </c>
      <c r="F10" s="48">
        <f t="shared" si="0"/>
        <v>2370000</v>
      </c>
    </row>
    <row r="11" spans="1:8" ht="14.4">
      <c r="A11" s="39">
        <v>43591</v>
      </c>
      <c r="B11" s="6" t="s">
        <v>8</v>
      </c>
      <c r="C11" s="6" t="s">
        <v>17</v>
      </c>
      <c r="D11" s="50">
        <v>375000</v>
      </c>
      <c r="E11" s="7">
        <v>2</v>
      </c>
      <c r="F11" s="47">
        <f t="shared" si="0"/>
        <v>750000</v>
      </c>
    </row>
    <row r="12" spans="1:8" ht="14.4">
      <c r="A12" s="39">
        <v>43592</v>
      </c>
      <c r="B12" s="6" t="s">
        <v>10</v>
      </c>
      <c r="C12" s="6" t="s">
        <v>9</v>
      </c>
      <c r="D12" s="51">
        <v>590000</v>
      </c>
      <c r="E12" s="7">
        <v>3</v>
      </c>
      <c r="F12" s="48">
        <f t="shared" si="0"/>
        <v>1770000</v>
      </c>
    </row>
    <row r="13" spans="1:8" ht="14.4">
      <c r="A13" s="39">
        <v>43593</v>
      </c>
      <c r="B13" s="6" t="s">
        <v>8</v>
      </c>
      <c r="C13" s="6" t="s">
        <v>11</v>
      </c>
      <c r="D13" s="50">
        <v>750000</v>
      </c>
      <c r="E13" s="7">
        <v>2</v>
      </c>
      <c r="F13" s="47">
        <f t="shared" si="0"/>
        <v>1500000</v>
      </c>
    </row>
    <row r="14" spans="1:8" ht="14.4">
      <c r="A14" s="40">
        <v>43594</v>
      </c>
      <c r="B14" s="8" t="s">
        <v>13</v>
      </c>
      <c r="C14" s="6" t="s">
        <v>9</v>
      </c>
      <c r="D14" s="51">
        <v>590000</v>
      </c>
      <c r="E14" s="7">
        <v>3</v>
      </c>
      <c r="F14" s="48">
        <f t="shared" si="0"/>
        <v>1770000</v>
      </c>
    </row>
    <row r="15" spans="1:8" ht="14.4">
      <c r="A15" s="39">
        <v>43595</v>
      </c>
      <c r="B15" s="6" t="s">
        <v>12</v>
      </c>
      <c r="C15" s="6" t="s">
        <v>11</v>
      </c>
      <c r="D15" s="50">
        <v>750000</v>
      </c>
      <c r="E15" s="7">
        <v>2</v>
      </c>
      <c r="F15" s="47">
        <f t="shared" si="0"/>
        <v>1500000</v>
      </c>
    </row>
    <row r="16" spans="1:8" ht="14.4">
      <c r="A16" s="39">
        <v>43596</v>
      </c>
      <c r="B16" s="6" t="s">
        <v>10</v>
      </c>
      <c r="C16" s="8" t="s">
        <v>14</v>
      </c>
      <c r="D16" s="50">
        <v>460000</v>
      </c>
      <c r="E16" s="7">
        <v>1</v>
      </c>
      <c r="F16" s="47">
        <f t="shared" si="0"/>
        <v>460000</v>
      </c>
    </row>
    <row r="17" spans="1:6" ht="14.4">
      <c r="A17" s="39">
        <v>43597</v>
      </c>
      <c r="B17" s="8" t="s">
        <v>13</v>
      </c>
      <c r="C17" s="6" t="s">
        <v>14</v>
      </c>
      <c r="D17" s="50">
        <v>460000</v>
      </c>
      <c r="E17" s="10">
        <v>1</v>
      </c>
      <c r="F17" s="47">
        <f t="shared" si="0"/>
        <v>460000</v>
      </c>
    </row>
    <row r="18" spans="1:6" ht="14.4">
      <c r="A18" s="39">
        <v>43598</v>
      </c>
      <c r="B18" s="6" t="s">
        <v>15</v>
      </c>
      <c r="C18" s="8" t="s">
        <v>11</v>
      </c>
      <c r="D18" s="51">
        <v>750000</v>
      </c>
      <c r="E18" s="7">
        <v>1</v>
      </c>
      <c r="F18" s="48">
        <f t="shared" si="0"/>
        <v>750000</v>
      </c>
    </row>
    <row r="19" spans="1:6" ht="14.4">
      <c r="A19" s="39">
        <v>43599</v>
      </c>
      <c r="B19" s="8" t="s">
        <v>15</v>
      </c>
      <c r="C19" s="6" t="s">
        <v>9</v>
      </c>
      <c r="D19" s="50">
        <v>590000</v>
      </c>
      <c r="E19" s="10">
        <v>2</v>
      </c>
      <c r="F19" s="47">
        <f t="shared" si="0"/>
        <v>1180000</v>
      </c>
    </row>
    <row r="20" spans="1:6" ht="14.4">
      <c r="A20" s="40">
        <v>43600</v>
      </c>
      <c r="B20" s="6" t="s">
        <v>8</v>
      </c>
      <c r="C20" s="6" t="s">
        <v>17</v>
      </c>
      <c r="D20" s="50">
        <v>375000</v>
      </c>
      <c r="E20" s="7">
        <v>2</v>
      </c>
      <c r="F20" s="47">
        <f t="shared" si="0"/>
        <v>750000</v>
      </c>
    </row>
    <row r="21" spans="1:6" ht="15.75" customHeight="1">
      <c r="A21" s="39">
        <v>43601</v>
      </c>
      <c r="B21" s="6" t="s">
        <v>10</v>
      </c>
      <c r="C21" s="6" t="s">
        <v>16</v>
      </c>
      <c r="D21" s="50">
        <v>790000</v>
      </c>
      <c r="E21" s="7">
        <v>1</v>
      </c>
      <c r="F21" s="47">
        <f t="shared" si="0"/>
        <v>790000</v>
      </c>
    </row>
    <row r="22" spans="1:6" ht="15.75" customHeight="1">
      <c r="A22" s="39">
        <v>43602</v>
      </c>
      <c r="B22" s="6" t="s">
        <v>12</v>
      </c>
      <c r="C22" s="6" t="s">
        <v>16</v>
      </c>
      <c r="D22" s="51">
        <v>790000</v>
      </c>
      <c r="E22" s="7">
        <v>1</v>
      </c>
      <c r="F22" s="48">
        <f t="shared" si="0"/>
        <v>790000</v>
      </c>
    </row>
    <row r="23" spans="1:6" ht="15.75" customHeight="1">
      <c r="A23" s="39">
        <v>43603</v>
      </c>
      <c r="B23" s="6" t="s">
        <v>18</v>
      </c>
      <c r="C23" s="6" t="s">
        <v>9</v>
      </c>
      <c r="D23" s="50">
        <v>590000</v>
      </c>
      <c r="E23" s="7">
        <v>2</v>
      </c>
      <c r="F23" s="47">
        <f t="shared" si="0"/>
        <v>1180000</v>
      </c>
    </row>
    <row r="24" spans="1:6" ht="15.75" customHeight="1">
      <c r="A24" s="39">
        <v>43604</v>
      </c>
      <c r="B24" s="6" t="s">
        <v>10</v>
      </c>
      <c r="C24" s="6" t="s">
        <v>17</v>
      </c>
      <c r="D24" s="51">
        <v>375000</v>
      </c>
      <c r="E24" s="7">
        <v>2</v>
      </c>
      <c r="F24" s="48">
        <f t="shared" si="0"/>
        <v>750000</v>
      </c>
    </row>
    <row r="25" spans="1:6" ht="15.75" customHeight="1">
      <c r="A25" s="40">
        <v>43605</v>
      </c>
      <c r="B25" s="6" t="s">
        <v>18</v>
      </c>
      <c r="C25" s="8" t="s">
        <v>9</v>
      </c>
      <c r="D25" s="50">
        <v>590000</v>
      </c>
      <c r="E25" s="7">
        <v>1</v>
      </c>
      <c r="F25" s="47">
        <f t="shared" si="0"/>
        <v>590000</v>
      </c>
    </row>
    <row r="26" spans="1:6" ht="15.75" customHeight="1">
      <c r="A26" s="39">
        <v>43606</v>
      </c>
      <c r="B26" s="8" t="s">
        <v>15</v>
      </c>
      <c r="C26" s="8" t="s">
        <v>11</v>
      </c>
      <c r="D26" s="50">
        <v>750000</v>
      </c>
      <c r="E26" s="7">
        <v>1</v>
      </c>
      <c r="F26" s="47">
        <f t="shared" si="0"/>
        <v>750000</v>
      </c>
    </row>
    <row r="27" spans="1:6" ht="15.75" customHeight="1">
      <c r="A27" s="39">
        <v>43607</v>
      </c>
      <c r="B27" s="6" t="s">
        <v>12</v>
      </c>
      <c r="C27" s="6" t="s">
        <v>14</v>
      </c>
      <c r="D27" s="50">
        <v>460000</v>
      </c>
      <c r="E27" s="7">
        <v>1</v>
      </c>
      <c r="F27" s="47">
        <f t="shared" si="0"/>
        <v>460000</v>
      </c>
    </row>
    <row r="28" spans="1:6" ht="15.75" customHeight="1">
      <c r="A28" s="39">
        <v>43608</v>
      </c>
      <c r="B28" s="6" t="s">
        <v>12</v>
      </c>
      <c r="C28" s="8" t="s">
        <v>14</v>
      </c>
      <c r="D28" s="51">
        <v>460000</v>
      </c>
      <c r="E28" s="7">
        <v>3</v>
      </c>
      <c r="F28" s="48">
        <f t="shared" si="0"/>
        <v>1380000</v>
      </c>
    </row>
    <row r="29" spans="1:6" ht="15.75" customHeight="1">
      <c r="A29" s="39">
        <v>43609</v>
      </c>
      <c r="B29" s="6" t="s">
        <v>15</v>
      </c>
      <c r="C29" s="6" t="s">
        <v>17</v>
      </c>
      <c r="D29" s="50">
        <v>375000</v>
      </c>
      <c r="E29" s="7">
        <v>1</v>
      </c>
      <c r="F29" s="47">
        <f t="shared" si="0"/>
        <v>375000</v>
      </c>
    </row>
    <row r="30" spans="1:6" ht="15.75" customHeight="1">
      <c r="A30" s="39">
        <v>43610</v>
      </c>
      <c r="B30" s="6" t="s">
        <v>8</v>
      </c>
      <c r="C30" s="6" t="s">
        <v>16</v>
      </c>
      <c r="D30" s="50">
        <v>790000</v>
      </c>
      <c r="E30" s="7">
        <v>2</v>
      </c>
      <c r="F30" s="47">
        <f t="shared" si="0"/>
        <v>1580000</v>
      </c>
    </row>
    <row r="31" spans="1:6" ht="15.75" customHeight="1">
      <c r="A31" s="39">
        <v>43611</v>
      </c>
      <c r="B31" s="8" t="s">
        <v>13</v>
      </c>
      <c r="C31" s="6" t="s">
        <v>9</v>
      </c>
      <c r="D31" s="50">
        <v>590000</v>
      </c>
      <c r="E31" s="7">
        <v>1</v>
      </c>
      <c r="F31" s="47">
        <f t="shared" si="0"/>
        <v>590000</v>
      </c>
    </row>
    <row r="32" spans="1:6" ht="15.75" customHeight="1">
      <c r="A32" s="39">
        <v>43612</v>
      </c>
      <c r="B32" s="6" t="s">
        <v>10</v>
      </c>
      <c r="C32" s="6" t="s">
        <v>17</v>
      </c>
      <c r="D32" s="51">
        <v>375000</v>
      </c>
      <c r="E32" s="7">
        <v>2</v>
      </c>
      <c r="F32" s="48">
        <f t="shared" si="0"/>
        <v>750000</v>
      </c>
    </row>
    <row r="33" spans="1:6" ht="15.75" customHeight="1">
      <c r="A33" s="40">
        <v>43613</v>
      </c>
      <c r="B33" s="6" t="s">
        <v>8</v>
      </c>
      <c r="C33" s="6" t="s">
        <v>9</v>
      </c>
      <c r="D33" s="50">
        <v>590000</v>
      </c>
      <c r="E33" s="7">
        <v>3</v>
      </c>
      <c r="F33" s="47">
        <f t="shared" si="0"/>
        <v>1770000</v>
      </c>
    </row>
    <row r="34" spans="1:6" ht="15.75" customHeight="1">
      <c r="A34" s="39">
        <v>43614</v>
      </c>
      <c r="B34" s="6" t="s">
        <v>10</v>
      </c>
      <c r="C34" s="6" t="s">
        <v>11</v>
      </c>
      <c r="D34" s="51">
        <v>750000</v>
      </c>
      <c r="E34" s="7">
        <v>1</v>
      </c>
      <c r="F34" s="48">
        <f t="shared" si="0"/>
        <v>750000</v>
      </c>
    </row>
    <row r="35" spans="1:6" ht="15.75" customHeight="1">
      <c r="A35" s="41">
        <v>43615</v>
      </c>
      <c r="B35" s="42" t="s">
        <v>18</v>
      </c>
      <c r="C35" s="42" t="s">
        <v>14</v>
      </c>
      <c r="D35" s="52">
        <v>460000</v>
      </c>
      <c r="E35" s="43">
        <v>1</v>
      </c>
      <c r="F35" s="49">
        <f t="shared" si="0"/>
        <v>460000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C4"/>
  </mergeCells>
  <conditionalFormatting sqref="F6:F35">
    <cfRule type="top10" dxfId="5" priority="1" bottom="1" rank="1"/>
    <cfRule type="top10" dxfId="4" priority="2" rank="1"/>
  </conditionalFormatting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activeCell="I8" sqref="I8"/>
    </sheetView>
  </sheetViews>
  <sheetFormatPr defaultColWidth="14.44140625" defaultRowHeight="15" customHeight="1"/>
  <cols>
    <col min="1" max="8" width="8.77734375" customWidth="1"/>
    <col min="9" max="9" width="23.6640625" customWidth="1"/>
    <col min="10" max="26" width="8.77734375" customWidth="1"/>
  </cols>
  <sheetData>
    <row r="1" spans="1:10" ht="14.4">
      <c r="A1" s="1" t="s">
        <v>20</v>
      </c>
    </row>
    <row r="2" spans="1:10" ht="14.4">
      <c r="A2" s="1" t="s">
        <v>21</v>
      </c>
    </row>
    <row r="3" spans="1:10" ht="14.4">
      <c r="A3" s="1"/>
      <c r="I3" s="11" t="s">
        <v>22</v>
      </c>
      <c r="J3" s="11">
        <v>1000</v>
      </c>
    </row>
    <row r="4" spans="1:10" ht="14.4">
      <c r="A4" s="79" t="s">
        <v>23</v>
      </c>
      <c r="B4" s="80"/>
      <c r="C4" s="81"/>
      <c r="I4" s="11" t="s">
        <v>24</v>
      </c>
      <c r="J4" s="57">
        <f>MIN(B6:G14)</f>
        <v>189.84375</v>
      </c>
    </row>
    <row r="5" spans="1:10" ht="14.4">
      <c r="A5" s="53" t="s">
        <v>25</v>
      </c>
      <c r="B5" s="53" t="s">
        <v>26</v>
      </c>
      <c r="C5" s="53" t="s">
        <v>27</v>
      </c>
      <c r="D5" s="53" t="s">
        <v>28</v>
      </c>
      <c r="E5" s="53" t="s">
        <v>29</v>
      </c>
      <c r="F5" s="53" t="s">
        <v>30</v>
      </c>
      <c r="G5" s="53" t="s">
        <v>31</v>
      </c>
      <c r="I5" s="11" t="s">
        <v>32</v>
      </c>
      <c r="J5" s="58">
        <f>MAX(B6:G14)</f>
        <v>6831.0000000000018</v>
      </c>
    </row>
    <row r="6" spans="1:10" ht="14.4">
      <c r="A6" s="11" t="s">
        <v>8</v>
      </c>
      <c r="B6" s="11">
        <v>1200</v>
      </c>
      <c r="C6" s="11">
        <v>840</v>
      </c>
      <c r="D6" s="11">
        <v>900</v>
      </c>
      <c r="E6" s="11">
        <v>1201</v>
      </c>
      <c r="F6" s="11">
        <v>840.69999999999993</v>
      </c>
      <c r="G6" s="11">
        <v>901</v>
      </c>
    </row>
    <row r="7" spans="1:10" ht="14.4">
      <c r="A7" s="11" t="s">
        <v>10</v>
      </c>
      <c r="B7" s="11">
        <v>600</v>
      </c>
      <c r="C7" s="11">
        <v>420</v>
      </c>
      <c r="D7" s="11">
        <v>450</v>
      </c>
      <c r="E7" s="11">
        <v>600.5</v>
      </c>
      <c r="F7" s="11">
        <v>420.34999999999997</v>
      </c>
      <c r="G7" s="11">
        <v>450.5</v>
      </c>
    </row>
    <row r="8" spans="1:10" ht="14.4">
      <c r="A8" s="11" t="s">
        <v>12</v>
      </c>
      <c r="B8" s="11">
        <v>720</v>
      </c>
      <c r="C8" s="11">
        <v>210</v>
      </c>
      <c r="D8" s="11">
        <v>1350</v>
      </c>
      <c r="E8" s="11">
        <v>720.6</v>
      </c>
      <c r="F8" s="11">
        <v>210.17499999999998</v>
      </c>
      <c r="G8" s="11">
        <v>1351.5</v>
      </c>
    </row>
    <row r="9" spans="1:10" ht="14.4">
      <c r="A9" s="11" t="s">
        <v>13</v>
      </c>
      <c r="B9" s="11">
        <v>1320</v>
      </c>
      <c r="C9" s="11">
        <v>1242</v>
      </c>
      <c r="D9" s="11">
        <v>675</v>
      </c>
      <c r="E9" s="11">
        <v>1321.1000000000001</v>
      </c>
      <c r="F9" s="11">
        <v>920</v>
      </c>
      <c r="G9" s="11">
        <v>675.75</v>
      </c>
    </row>
    <row r="10" spans="1:10" ht="14.4">
      <c r="A10" s="11" t="s">
        <v>15</v>
      </c>
      <c r="B10" s="11">
        <v>792</v>
      </c>
      <c r="C10" s="11">
        <v>1330</v>
      </c>
      <c r="D10" s="11">
        <v>1012.5</v>
      </c>
      <c r="E10" s="11">
        <v>792.66000000000008</v>
      </c>
      <c r="F10" s="11">
        <v>1380</v>
      </c>
      <c r="G10" s="11">
        <v>1013.625</v>
      </c>
    </row>
    <row r="11" spans="1:10" ht="14.4">
      <c r="A11" s="11" t="s">
        <v>18</v>
      </c>
      <c r="B11" s="11">
        <v>1188</v>
      </c>
      <c r="C11" s="11">
        <v>1995</v>
      </c>
      <c r="D11" s="11">
        <v>506.25</v>
      </c>
      <c r="E11" s="11">
        <v>1250</v>
      </c>
      <c r="F11" s="11">
        <v>2070</v>
      </c>
      <c r="G11" s="11">
        <v>506.8125</v>
      </c>
    </row>
    <row r="12" spans="1:10" ht="14.4">
      <c r="A12" s="11" t="s">
        <v>33</v>
      </c>
      <c r="B12" s="11">
        <v>1742.4</v>
      </c>
      <c r="C12" s="11">
        <v>2926.0000000000005</v>
      </c>
      <c r="D12" s="11">
        <v>253.125</v>
      </c>
      <c r="E12" s="11">
        <v>1743.8520000000003</v>
      </c>
      <c r="F12" s="11">
        <v>3036.0000000000005</v>
      </c>
      <c r="G12" s="11">
        <v>253.40625</v>
      </c>
    </row>
    <row r="13" spans="1:10" ht="14.4">
      <c r="A13" s="11" t="s">
        <v>34</v>
      </c>
      <c r="B13" s="11">
        <v>1045.44</v>
      </c>
      <c r="C13" s="11">
        <v>4389.0000000000009</v>
      </c>
      <c r="D13" s="11">
        <v>379.6875</v>
      </c>
      <c r="E13" s="11">
        <v>1046.3112000000001</v>
      </c>
      <c r="F13" s="11">
        <v>4554.0000000000009</v>
      </c>
      <c r="G13" s="11">
        <v>380.109375</v>
      </c>
    </row>
    <row r="14" spans="1:10" ht="14.4">
      <c r="A14" s="11" t="s">
        <v>35</v>
      </c>
      <c r="B14" s="11">
        <v>1568.16</v>
      </c>
      <c r="C14" s="11">
        <v>6583.5000000000018</v>
      </c>
      <c r="D14" s="11">
        <v>189.84375</v>
      </c>
      <c r="E14" s="11">
        <v>1569.4668000000001</v>
      </c>
      <c r="F14" s="11">
        <v>6831.0000000000018</v>
      </c>
      <c r="G14" s="11">
        <v>190.0546875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C4"/>
  </mergeCells>
  <conditionalFormatting sqref="B6:G14">
    <cfRule type="cellIs" dxfId="3" priority="1" operator="greaterThan">
      <formula>$J$3</formula>
    </cfRule>
    <cfRule type="cellIs" dxfId="2" priority="2" operator="lessThan">
      <formula>$J$3</formula>
    </cfRule>
    <cfRule type="cellIs" dxfId="1" priority="3" operator="greaterThan">
      <formula>"$J$3"</formula>
    </cfRule>
  </conditionalFormatting>
  <conditionalFormatting sqref="L3">
    <cfRule type="cellIs" dxfId="0" priority="4" operator="greaterThan">
      <formula>$J$3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opLeftCell="A2" workbookViewId="0">
      <selection activeCell="F9" sqref="F9"/>
    </sheetView>
  </sheetViews>
  <sheetFormatPr defaultColWidth="14.44140625" defaultRowHeight="15" customHeight="1"/>
  <cols>
    <col min="1" max="1" width="12.5546875" customWidth="1"/>
    <col min="2" max="2" width="18" customWidth="1"/>
    <col min="3" max="3" width="10.21875" customWidth="1"/>
    <col min="4" max="4" width="12" customWidth="1"/>
    <col min="5" max="5" width="8" customWidth="1"/>
    <col min="6" max="6" width="13.6640625" customWidth="1"/>
    <col min="7" max="8" width="8.77734375" customWidth="1"/>
    <col min="9" max="9" width="21.5546875" customWidth="1"/>
    <col min="10" max="10" width="14.6640625" customWidth="1"/>
    <col min="11" max="26" width="8.77734375" customWidth="1"/>
  </cols>
  <sheetData>
    <row r="1" spans="1:10" ht="14.4">
      <c r="A1" s="1" t="s">
        <v>36</v>
      </c>
    </row>
    <row r="4" spans="1:10" ht="14.4">
      <c r="A4" s="82" t="s">
        <v>1</v>
      </c>
      <c r="B4" s="83"/>
      <c r="C4" s="84"/>
    </row>
    <row r="5" spans="1:10" ht="14.4">
      <c r="A5" s="44" t="s">
        <v>2</v>
      </c>
      <c r="B5" s="45" t="s">
        <v>3</v>
      </c>
      <c r="C5" s="45" t="s">
        <v>4</v>
      </c>
      <c r="D5" s="45" t="s">
        <v>5</v>
      </c>
      <c r="E5" s="45" t="s">
        <v>6</v>
      </c>
      <c r="F5" s="46" t="s">
        <v>7</v>
      </c>
      <c r="I5" s="54" t="s">
        <v>37</v>
      </c>
      <c r="J5" s="54" t="s">
        <v>38</v>
      </c>
    </row>
    <row r="6" spans="1:10" ht="14.4">
      <c r="A6" s="39">
        <v>43586</v>
      </c>
      <c r="B6" s="6" t="s">
        <v>8</v>
      </c>
      <c r="C6" s="6" t="s">
        <v>9</v>
      </c>
      <c r="D6" s="50">
        <v>590000</v>
      </c>
      <c r="E6" s="7">
        <v>1</v>
      </c>
      <c r="F6" s="47">
        <f t="shared" ref="F6:F35" si="0">D6*E6</f>
        <v>590000</v>
      </c>
      <c r="I6" s="11" t="s">
        <v>39</v>
      </c>
      <c r="J6" s="55">
        <f>SUM(F6:F35)</f>
        <v>29365000</v>
      </c>
    </row>
    <row r="7" spans="1:10" ht="14.4">
      <c r="A7" s="39">
        <v>43587</v>
      </c>
      <c r="B7" s="6" t="s">
        <v>10</v>
      </c>
      <c r="C7" s="6" t="s">
        <v>11</v>
      </c>
      <c r="D7" s="50">
        <v>750000</v>
      </c>
      <c r="E7" s="7">
        <v>2</v>
      </c>
      <c r="F7" s="47">
        <f t="shared" si="0"/>
        <v>1500000</v>
      </c>
      <c r="I7" s="11" t="s">
        <v>40</v>
      </c>
      <c r="J7" s="56">
        <f>SUM(E6:E35)</f>
        <v>50</v>
      </c>
    </row>
    <row r="8" spans="1:10" ht="14.4">
      <c r="A8" s="39">
        <v>43588</v>
      </c>
      <c r="B8" s="6" t="s">
        <v>12</v>
      </c>
      <c r="C8" s="6" t="s">
        <v>9</v>
      </c>
      <c r="D8" s="50">
        <v>590000</v>
      </c>
      <c r="E8" s="7">
        <v>1</v>
      </c>
      <c r="F8" s="47">
        <f t="shared" si="0"/>
        <v>590000</v>
      </c>
      <c r="I8" s="11" t="s">
        <v>41</v>
      </c>
      <c r="J8" s="56">
        <f>COUNTA(A6:A35)</f>
        <v>30</v>
      </c>
    </row>
    <row r="9" spans="1:10" ht="14.4">
      <c r="A9" s="39">
        <v>43589</v>
      </c>
      <c r="B9" s="6" t="s">
        <v>13</v>
      </c>
      <c r="C9" s="6" t="s">
        <v>14</v>
      </c>
      <c r="D9" s="50">
        <v>460000</v>
      </c>
      <c r="E9" s="7">
        <v>1</v>
      </c>
      <c r="F9" s="47">
        <f t="shared" si="0"/>
        <v>460000</v>
      </c>
      <c r="I9" s="11" t="s">
        <v>42</v>
      </c>
      <c r="J9" s="55">
        <f>AVERAGE(F6:F35)</f>
        <v>978833.33333333337</v>
      </c>
    </row>
    <row r="10" spans="1:10" ht="14.4">
      <c r="A10" s="39">
        <v>43590</v>
      </c>
      <c r="B10" s="6" t="s">
        <v>15</v>
      </c>
      <c r="C10" s="8" t="s">
        <v>16</v>
      </c>
      <c r="D10" s="51">
        <v>790000</v>
      </c>
      <c r="E10" s="7">
        <v>3</v>
      </c>
      <c r="F10" s="48">
        <f t="shared" si="0"/>
        <v>2370000</v>
      </c>
    </row>
    <row r="11" spans="1:10" ht="14.4">
      <c r="A11" s="39">
        <v>43591</v>
      </c>
      <c r="B11" s="6" t="s">
        <v>8</v>
      </c>
      <c r="C11" s="6" t="s">
        <v>17</v>
      </c>
      <c r="D11" s="50">
        <v>375000</v>
      </c>
      <c r="E11" s="7">
        <v>2</v>
      </c>
      <c r="F11" s="47">
        <f t="shared" si="0"/>
        <v>750000</v>
      </c>
    </row>
    <row r="12" spans="1:10" ht="14.4">
      <c r="A12" s="39">
        <v>43592</v>
      </c>
      <c r="B12" s="6" t="s">
        <v>10</v>
      </c>
      <c r="C12" s="6" t="s">
        <v>9</v>
      </c>
      <c r="D12" s="51">
        <v>590000</v>
      </c>
      <c r="E12" s="7">
        <v>3</v>
      </c>
      <c r="F12" s="48">
        <f t="shared" si="0"/>
        <v>1770000</v>
      </c>
    </row>
    <row r="13" spans="1:10" ht="14.4">
      <c r="A13" s="39">
        <v>43593</v>
      </c>
      <c r="B13" s="6" t="s">
        <v>8</v>
      </c>
      <c r="C13" s="6" t="s">
        <v>11</v>
      </c>
      <c r="D13" s="50">
        <v>750000</v>
      </c>
      <c r="E13" s="7">
        <v>2</v>
      </c>
      <c r="F13" s="47">
        <f t="shared" si="0"/>
        <v>1500000</v>
      </c>
    </row>
    <row r="14" spans="1:10" ht="14.4">
      <c r="A14" s="40">
        <v>43594</v>
      </c>
      <c r="B14" s="8" t="s">
        <v>13</v>
      </c>
      <c r="C14" s="6" t="s">
        <v>9</v>
      </c>
      <c r="D14" s="51">
        <v>590000</v>
      </c>
      <c r="E14" s="7">
        <v>3</v>
      </c>
      <c r="F14" s="48">
        <f t="shared" si="0"/>
        <v>1770000</v>
      </c>
    </row>
    <row r="15" spans="1:10" ht="14.4">
      <c r="A15" s="39">
        <v>43595</v>
      </c>
      <c r="B15" s="6" t="s">
        <v>12</v>
      </c>
      <c r="C15" s="6" t="s">
        <v>11</v>
      </c>
      <c r="D15" s="50">
        <v>750000</v>
      </c>
      <c r="E15" s="7">
        <v>2</v>
      </c>
      <c r="F15" s="47">
        <f t="shared" si="0"/>
        <v>1500000</v>
      </c>
    </row>
    <row r="16" spans="1:10" ht="14.4">
      <c r="A16" s="39">
        <v>43596</v>
      </c>
      <c r="B16" s="6" t="s">
        <v>10</v>
      </c>
      <c r="C16" s="8" t="s">
        <v>14</v>
      </c>
      <c r="D16" s="50">
        <v>460000</v>
      </c>
      <c r="E16" s="7">
        <v>1</v>
      </c>
      <c r="F16" s="47">
        <f t="shared" si="0"/>
        <v>460000</v>
      </c>
    </row>
    <row r="17" spans="1:6" ht="14.4">
      <c r="A17" s="39">
        <v>43597</v>
      </c>
      <c r="B17" s="8" t="s">
        <v>13</v>
      </c>
      <c r="C17" s="6" t="s">
        <v>14</v>
      </c>
      <c r="D17" s="50">
        <v>460000</v>
      </c>
      <c r="E17" s="10">
        <v>1</v>
      </c>
      <c r="F17" s="47">
        <f t="shared" si="0"/>
        <v>460000</v>
      </c>
    </row>
    <row r="18" spans="1:6" ht="14.4">
      <c r="A18" s="39">
        <v>43598</v>
      </c>
      <c r="B18" s="6" t="s">
        <v>15</v>
      </c>
      <c r="C18" s="8" t="s">
        <v>11</v>
      </c>
      <c r="D18" s="51">
        <v>750000</v>
      </c>
      <c r="E18" s="7">
        <v>1</v>
      </c>
      <c r="F18" s="48">
        <f t="shared" si="0"/>
        <v>750000</v>
      </c>
    </row>
    <row r="19" spans="1:6" ht="14.4">
      <c r="A19" s="39">
        <v>43599</v>
      </c>
      <c r="B19" s="8" t="s">
        <v>15</v>
      </c>
      <c r="C19" s="6" t="s">
        <v>9</v>
      </c>
      <c r="D19" s="50">
        <v>590000</v>
      </c>
      <c r="E19" s="10">
        <v>2</v>
      </c>
      <c r="F19" s="47">
        <f t="shared" si="0"/>
        <v>1180000</v>
      </c>
    </row>
    <row r="20" spans="1:6" ht="14.4">
      <c r="A20" s="40">
        <v>43600</v>
      </c>
      <c r="B20" s="6" t="s">
        <v>8</v>
      </c>
      <c r="C20" s="6" t="s">
        <v>17</v>
      </c>
      <c r="D20" s="50">
        <v>375000</v>
      </c>
      <c r="E20" s="7">
        <v>2</v>
      </c>
      <c r="F20" s="47">
        <f t="shared" si="0"/>
        <v>750000</v>
      </c>
    </row>
    <row r="21" spans="1:6" ht="15.75" customHeight="1">
      <c r="A21" s="39">
        <v>43601</v>
      </c>
      <c r="B21" s="6" t="s">
        <v>10</v>
      </c>
      <c r="C21" s="6" t="s">
        <v>16</v>
      </c>
      <c r="D21" s="50">
        <v>790000</v>
      </c>
      <c r="E21" s="7">
        <v>1</v>
      </c>
      <c r="F21" s="47">
        <f t="shared" si="0"/>
        <v>790000</v>
      </c>
    </row>
    <row r="22" spans="1:6" ht="15.75" customHeight="1">
      <c r="A22" s="39">
        <v>43602</v>
      </c>
      <c r="B22" s="6" t="s">
        <v>12</v>
      </c>
      <c r="C22" s="6" t="s">
        <v>16</v>
      </c>
      <c r="D22" s="51">
        <v>790000</v>
      </c>
      <c r="E22" s="7">
        <v>1</v>
      </c>
      <c r="F22" s="48">
        <f t="shared" si="0"/>
        <v>790000</v>
      </c>
    </row>
    <row r="23" spans="1:6" ht="15.75" customHeight="1">
      <c r="A23" s="39">
        <v>43603</v>
      </c>
      <c r="B23" s="6" t="s">
        <v>18</v>
      </c>
      <c r="C23" s="6" t="s">
        <v>9</v>
      </c>
      <c r="D23" s="50">
        <v>590000</v>
      </c>
      <c r="E23" s="7">
        <v>2</v>
      </c>
      <c r="F23" s="47">
        <f t="shared" si="0"/>
        <v>1180000</v>
      </c>
    </row>
    <row r="24" spans="1:6" ht="15.75" customHeight="1">
      <c r="A24" s="39">
        <v>43604</v>
      </c>
      <c r="B24" s="6" t="s">
        <v>10</v>
      </c>
      <c r="C24" s="6" t="s">
        <v>17</v>
      </c>
      <c r="D24" s="51">
        <v>375000</v>
      </c>
      <c r="E24" s="7">
        <v>2</v>
      </c>
      <c r="F24" s="48">
        <f t="shared" si="0"/>
        <v>750000</v>
      </c>
    </row>
    <row r="25" spans="1:6" ht="15.75" customHeight="1">
      <c r="A25" s="40">
        <v>43605</v>
      </c>
      <c r="B25" s="6" t="s">
        <v>18</v>
      </c>
      <c r="C25" s="8" t="s">
        <v>9</v>
      </c>
      <c r="D25" s="50">
        <v>590000</v>
      </c>
      <c r="E25" s="7">
        <v>1</v>
      </c>
      <c r="F25" s="47">
        <f t="shared" si="0"/>
        <v>590000</v>
      </c>
    </row>
    <row r="26" spans="1:6" ht="15.75" customHeight="1">
      <c r="A26" s="39">
        <v>43606</v>
      </c>
      <c r="B26" s="8" t="s">
        <v>15</v>
      </c>
      <c r="C26" s="8" t="s">
        <v>11</v>
      </c>
      <c r="D26" s="50">
        <v>750000</v>
      </c>
      <c r="E26" s="7">
        <v>1</v>
      </c>
      <c r="F26" s="47">
        <f t="shared" si="0"/>
        <v>750000</v>
      </c>
    </row>
    <row r="27" spans="1:6" ht="15.75" customHeight="1">
      <c r="A27" s="39">
        <v>43607</v>
      </c>
      <c r="B27" s="6" t="s">
        <v>12</v>
      </c>
      <c r="C27" s="6" t="s">
        <v>14</v>
      </c>
      <c r="D27" s="50">
        <v>460000</v>
      </c>
      <c r="E27" s="7">
        <v>1</v>
      </c>
      <c r="F27" s="47">
        <f t="shared" si="0"/>
        <v>460000</v>
      </c>
    </row>
    <row r="28" spans="1:6" ht="15.75" customHeight="1">
      <c r="A28" s="39">
        <v>43608</v>
      </c>
      <c r="B28" s="6" t="s">
        <v>12</v>
      </c>
      <c r="C28" s="8" t="s">
        <v>14</v>
      </c>
      <c r="D28" s="51">
        <v>460000</v>
      </c>
      <c r="E28" s="7">
        <v>3</v>
      </c>
      <c r="F28" s="48">
        <f t="shared" si="0"/>
        <v>1380000</v>
      </c>
    </row>
    <row r="29" spans="1:6" ht="15.75" customHeight="1">
      <c r="A29" s="39">
        <v>43609</v>
      </c>
      <c r="B29" s="6" t="s">
        <v>15</v>
      </c>
      <c r="C29" s="6" t="s">
        <v>17</v>
      </c>
      <c r="D29" s="50">
        <v>375000</v>
      </c>
      <c r="E29" s="7">
        <v>1</v>
      </c>
      <c r="F29" s="47">
        <f t="shared" si="0"/>
        <v>375000</v>
      </c>
    </row>
    <row r="30" spans="1:6" ht="15.75" customHeight="1">
      <c r="A30" s="39">
        <v>43610</v>
      </c>
      <c r="B30" s="6" t="s">
        <v>8</v>
      </c>
      <c r="C30" s="6" t="s">
        <v>16</v>
      </c>
      <c r="D30" s="50">
        <v>790000</v>
      </c>
      <c r="E30" s="7">
        <v>2</v>
      </c>
      <c r="F30" s="47">
        <f t="shared" si="0"/>
        <v>1580000</v>
      </c>
    </row>
    <row r="31" spans="1:6" ht="15.75" customHeight="1">
      <c r="A31" s="39">
        <v>43611</v>
      </c>
      <c r="B31" s="8" t="s">
        <v>13</v>
      </c>
      <c r="C31" s="6" t="s">
        <v>9</v>
      </c>
      <c r="D31" s="50">
        <v>590000</v>
      </c>
      <c r="E31" s="7">
        <v>1</v>
      </c>
      <c r="F31" s="47">
        <f t="shared" si="0"/>
        <v>590000</v>
      </c>
    </row>
    <row r="32" spans="1:6" ht="15.75" customHeight="1">
      <c r="A32" s="39">
        <v>43612</v>
      </c>
      <c r="B32" s="6" t="s">
        <v>10</v>
      </c>
      <c r="C32" s="6" t="s">
        <v>17</v>
      </c>
      <c r="D32" s="51">
        <v>375000</v>
      </c>
      <c r="E32" s="7">
        <v>2</v>
      </c>
      <c r="F32" s="48">
        <f t="shared" si="0"/>
        <v>750000</v>
      </c>
    </row>
    <row r="33" spans="1:6" ht="15.75" customHeight="1">
      <c r="A33" s="40">
        <v>43613</v>
      </c>
      <c r="B33" s="6" t="s">
        <v>8</v>
      </c>
      <c r="C33" s="6" t="s">
        <v>9</v>
      </c>
      <c r="D33" s="50">
        <v>590000</v>
      </c>
      <c r="E33" s="7">
        <v>3</v>
      </c>
      <c r="F33" s="47">
        <f t="shared" si="0"/>
        <v>1770000</v>
      </c>
    </row>
    <row r="34" spans="1:6" ht="15.75" customHeight="1">
      <c r="A34" s="39">
        <v>43614</v>
      </c>
      <c r="B34" s="6" t="s">
        <v>10</v>
      </c>
      <c r="C34" s="6" t="s">
        <v>11</v>
      </c>
      <c r="D34" s="51">
        <v>750000</v>
      </c>
      <c r="E34" s="7">
        <v>1</v>
      </c>
      <c r="F34" s="48">
        <f t="shared" si="0"/>
        <v>750000</v>
      </c>
    </row>
    <row r="35" spans="1:6" ht="15.75" customHeight="1">
      <c r="A35" s="41">
        <v>43615</v>
      </c>
      <c r="B35" s="42" t="s">
        <v>18</v>
      </c>
      <c r="C35" s="42" t="s">
        <v>14</v>
      </c>
      <c r="D35" s="52">
        <v>460000</v>
      </c>
      <c r="E35" s="43">
        <v>1</v>
      </c>
      <c r="F35" s="49">
        <f t="shared" si="0"/>
        <v>460000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C4"/>
  </mergeCells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0"/>
  <sheetViews>
    <sheetView topLeftCell="A3" workbookViewId="0">
      <selection activeCell="F6" sqref="F6"/>
    </sheetView>
  </sheetViews>
  <sheetFormatPr defaultColWidth="14.44140625" defaultRowHeight="15" customHeight="1"/>
  <cols>
    <col min="1" max="1" width="15.77734375" customWidth="1"/>
    <col min="2" max="2" width="18" customWidth="1"/>
    <col min="3" max="3" width="11.33203125" bestFit="1" customWidth="1"/>
    <col min="4" max="4" width="12.77734375" bestFit="1" customWidth="1"/>
    <col min="5" max="5" width="10.5546875" bestFit="1" customWidth="1"/>
    <col min="6" max="6" width="13.6640625" customWidth="1"/>
    <col min="7" max="8" width="8.77734375" customWidth="1"/>
    <col min="9" max="9" width="12.44140625" bestFit="1" customWidth="1"/>
    <col min="10" max="10" width="14" bestFit="1" customWidth="1"/>
    <col min="11" max="11" width="15" bestFit="1" customWidth="1"/>
    <col min="12" max="26" width="8.77734375" customWidth="1"/>
  </cols>
  <sheetData>
    <row r="1" spans="1:11" ht="14.4">
      <c r="A1" s="1" t="s">
        <v>43</v>
      </c>
    </row>
    <row r="2" spans="1:11" ht="14.4">
      <c r="A2" s="1" t="s">
        <v>44</v>
      </c>
    </row>
    <row r="4" spans="1:11" ht="14.4">
      <c r="A4" s="82" t="s">
        <v>1</v>
      </c>
      <c r="B4" s="83"/>
      <c r="C4" s="84"/>
    </row>
    <row r="5" spans="1:11" ht="14.4">
      <c r="A5" s="44" t="s">
        <v>2</v>
      </c>
      <c r="B5" s="45" t="s">
        <v>3</v>
      </c>
      <c r="C5" s="45" t="s">
        <v>4</v>
      </c>
      <c r="D5" s="45" t="s">
        <v>5</v>
      </c>
      <c r="E5" s="45" t="s">
        <v>6</v>
      </c>
      <c r="F5" s="46" t="s">
        <v>7</v>
      </c>
      <c r="I5" s="59" t="s">
        <v>51</v>
      </c>
      <c r="J5" t="s">
        <v>55</v>
      </c>
      <c r="K5" t="s">
        <v>54</v>
      </c>
    </row>
    <row r="6" spans="1:11" ht="14.4">
      <c r="A6" s="39">
        <v>43586</v>
      </c>
      <c r="B6" s="6" t="s">
        <v>8</v>
      </c>
      <c r="C6" s="6" t="s">
        <v>9</v>
      </c>
      <c r="D6" s="50">
        <v>590000</v>
      </c>
      <c r="E6" s="7">
        <v>1</v>
      </c>
      <c r="F6" s="47">
        <f t="shared" ref="F6:F35" si="0">D6*E6</f>
        <v>590000</v>
      </c>
      <c r="I6" s="69" t="s">
        <v>8</v>
      </c>
      <c r="J6" s="68">
        <v>6940000</v>
      </c>
      <c r="K6" s="70">
        <v>6</v>
      </c>
    </row>
    <row r="7" spans="1:11" ht="14.4">
      <c r="A7" s="39">
        <v>43587</v>
      </c>
      <c r="B7" s="6" t="s">
        <v>10</v>
      </c>
      <c r="C7" s="6" t="s">
        <v>11</v>
      </c>
      <c r="D7" s="50">
        <v>750000</v>
      </c>
      <c r="E7" s="7">
        <v>2</v>
      </c>
      <c r="F7" s="47">
        <f t="shared" si="0"/>
        <v>1500000</v>
      </c>
      <c r="I7" s="60" t="s">
        <v>10</v>
      </c>
      <c r="J7" s="64">
        <v>6770000</v>
      </c>
      <c r="K7" s="65">
        <v>7</v>
      </c>
    </row>
    <row r="8" spans="1:11" ht="14.4">
      <c r="A8" s="39">
        <v>43588</v>
      </c>
      <c r="B8" s="6" t="s">
        <v>12</v>
      </c>
      <c r="C8" s="6" t="s">
        <v>9</v>
      </c>
      <c r="D8" s="50">
        <v>590000</v>
      </c>
      <c r="E8" s="7">
        <v>1</v>
      </c>
      <c r="F8" s="47">
        <f t="shared" si="0"/>
        <v>590000</v>
      </c>
      <c r="I8" s="60" t="s">
        <v>15</v>
      </c>
      <c r="J8" s="64">
        <v>5425000</v>
      </c>
      <c r="K8" s="65">
        <v>5</v>
      </c>
    </row>
    <row r="9" spans="1:11" ht="14.4">
      <c r="A9" s="39">
        <v>43589</v>
      </c>
      <c r="B9" s="6" t="s">
        <v>13</v>
      </c>
      <c r="C9" s="6" t="s">
        <v>14</v>
      </c>
      <c r="D9" s="50">
        <v>460000</v>
      </c>
      <c r="E9" s="7">
        <v>1</v>
      </c>
      <c r="F9" s="47">
        <f t="shared" si="0"/>
        <v>460000</v>
      </c>
      <c r="I9" s="60" t="s">
        <v>12</v>
      </c>
      <c r="J9" s="64">
        <v>4720000</v>
      </c>
      <c r="K9" s="65">
        <v>5</v>
      </c>
    </row>
    <row r="10" spans="1:11" ht="14.4">
      <c r="A10" s="39">
        <v>43590</v>
      </c>
      <c r="B10" s="6" t="s">
        <v>15</v>
      </c>
      <c r="C10" s="8" t="s">
        <v>16</v>
      </c>
      <c r="D10" s="51">
        <v>790000</v>
      </c>
      <c r="E10" s="7">
        <v>3</v>
      </c>
      <c r="F10" s="48">
        <f t="shared" si="0"/>
        <v>2370000</v>
      </c>
      <c r="I10" s="60" t="s">
        <v>13</v>
      </c>
      <c r="J10" s="64">
        <v>3280000</v>
      </c>
      <c r="K10" s="65">
        <v>4</v>
      </c>
    </row>
    <row r="11" spans="1:11" ht="14.4">
      <c r="A11" s="39">
        <v>43591</v>
      </c>
      <c r="B11" s="6" t="s">
        <v>8</v>
      </c>
      <c r="C11" s="6" t="s">
        <v>17</v>
      </c>
      <c r="D11" s="50">
        <v>375000</v>
      </c>
      <c r="E11" s="7">
        <v>2</v>
      </c>
      <c r="F11" s="47">
        <f t="shared" si="0"/>
        <v>750000</v>
      </c>
      <c r="I11" s="60" t="s">
        <v>18</v>
      </c>
      <c r="J11" s="64">
        <v>2230000</v>
      </c>
      <c r="K11" s="65">
        <v>3</v>
      </c>
    </row>
    <row r="12" spans="1:11" ht="14.4">
      <c r="A12" s="39">
        <v>43592</v>
      </c>
      <c r="B12" s="6" t="s">
        <v>10</v>
      </c>
      <c r="C12" s="6" t="s">
        <v>9</v>
      </c>
      <c r="D12" s="51">
        <v>590000</v>
      </c>
      <c r="E12" s="7">
        <v>3</v>
      </c>
      <c r="F12" s="48">
        <f t="shared" si="0"/>
        <v>1770000</v>
      </c>
      <c r="I12" s="60" t="s">
        <v>52</v>
      </c>
      <c r="J12" s="61">
        <v>29365000</v>
      </c>
      <c r="K12" s="66">
        <v>30</v>
      </c>
    </row>
    <row r="13" spans="1:11" ht="14.4">
      <c r="A13" s="39">
        <v>43593</v>
      </c>
      <c r="B13" s="6" t="s">
        <v>8</v>
      </c>
      <c r="C13" s="6" t="s">
        <v>11</v>
      </c>
      <c r="D13" s="50">
        <v>750000</v>
      </c>
      <c r="E13" s="7">
        <v>2</v>
      </c>
      <c r="F13" s="47">
        <f t="shared" si="0"/>
        <v>1500000</v>
      </c>
    </row>
    <row r="14" spans="1:11" ht="15.6">
      <c r="A14" s="40">
        <v>43594</v>
      </c>
      <c r="B14" s="8" t="s">
        <v>13</v>
      </c>
      <c r="C14" s="6" t="s">
        <v>9</v>
      </c>
      <c r="D14" s="51">
        <v>590000</v>
      </c>
      <c r="E14" s="7">
        <v>3</v>
      </c>
      <c r="F14" s="48">
        <f t="shared" si="0"/>
        <v>1770000</v>
      </c>
      <c r="I14" s="63" t="s">
        <v>53</v>
      </c>
    </row>
    <row r="15" spans="1:11" ht="14.4">
      <c r="A15" s="39">
        <v>43595</v>
      </c>
      <c r="B15" s="6" t="s">
        <v>12</v>
      </c>
      <c r="C15" s="6" t="s">
        <v>11</v>
      </c>
      <c r="D15" s="50">
        <v>750000</v>
      </c>
      <c r="E15" s="7">
        <v>2</v>
      </c>
      <c r="F15" s="47">
        <f t="shared" si="0"/>
        <v>1500000</v>
      </c>
      <c r="I15" s="67" t="str">
        <f>I6</f>
        <v>Ahmed</v>
      </c>
      <c r="J15" s="68">
        <f>J6</f>
        <v>6940000</v>
      </c>
    </row>
    <row r="16" spans="1:11" ht="14.4">
      <c r="A16" s="39">
        <v>43596</v>
      </c>
      <c r="B16" s="6" t="s">
        <v>10</v>
      </c>
      <c r="C16" s="8" t="s">
        <v>14</v>
      </c>
      <c r="D16" s="50">
        <v>460000</v>
      </c>
      <c r="E16" s="7">
        <v>1</v>
      </c>
      <c r="F16" s="47">
        <f t="shared" si="0"/>
        <v>460000</v>
      </c>
    </row>
    <row r="17" spans="1:9" ht="14.4">
      <c r="A17" s="39">
        <v>43597</v>
      </c>
      <c r="B17" s="8" t="s">
        <v>13</v>
      </c>
      <c r="C17" s="6" t="s">
        <v>14</v>
      </c>
      <c r="D17" s="50">
        <v>460000</v>
      </c>
      <c r="E17" s="10">
        <v>1</v>
      </c>
      <c r="F17" s="47">
        <f t="shared" si="0"/>
        <v>460000</v>
      </c>
    </row>
    <row r="18" spans="1:9" ht="14.4">
      <c r="A18" s="39">
        <v>43598</v>
      </c>
      <c r="B18" s="6" t="s">
        <v>15</v>
      </c>
      <c r="C18" s="8" t="s">
        <v>11</v>
      </c>
      <c r="D18" s="51">
        <v>750000</v>
      </c>
      <c r="E18" s="7">
        <v>1</v>
      </c>
      <c r="F18" s="48">
        <f t="shared" si="0"/>
        <v>750000</v>
      </c>
    </row>
    <row r="19" spans="1:9" ht="14.4">
      <c r="A19" s="39">
        <v>43599</v>
      </c>
      <c r="B19" s="8" t="s">
        <v>15</v>
      </c>
      <c r="C19" s="6" t="s">
        <v>9</v>
      </c>
      <c r="D19" s="50">
        <v>590000</v>
      </c>
      <c r="E19" s="10">
        <v>2</v>
      </c>
      <c r="F19" s="47">
        <f t="shared" si="0"/>
        <v>1180000</v>
      </c>
    </row>
    <row r="20" spans="1:9" ht="14.4">
      <c r="A20" s="40">
        <v>43600</v>
      </c>
      <c r="B20" s="6" t="s">
        <v>8</v>
      </c>
      <c r="C20" s="6" t="s">
        <v>17</v>
      </c>
      <c r="D20" s="50">
        <v>375000</v>
      </c>
      <c r="E20" s="7">
        <v>2</v>
      </c>
      <c r="F20" s="47">
        <f t="shared" si="0"/>
        <v>750000</v>
      </c>
    </row>
    <row r="21" spans="1:9" ht="15.75" customHeight="1">
      <c r="A21" s="39">
        <v>43601</v>
      </c>
      <c r="B21" s="6" t="s">
        <v>10</v>
      </c>
      <c r="C21" s="6" t="s">
        <v>16</v>
      </c>
      <c r="D21" s="50">
        <v>790000</v>
      </c>
      <c r="E21" s="7">
        <v>1</v>
      </c>
      <c r="F21" s="47">
        <f t="shared" si="0"/>
        <v>790000</v>
      </c>
      <c r="I21" s="62"/>
    </row>
    <row r="22" spans="1:9" ht="15.75" customHeight="1">
      <c r="A22" s="39">
        <v>43602</v>
      </c>
      <c r="B22" s="6" t="s">
        <v>12</v>
      </c>
      <c r="C22" s="6" t="s">
        <v>16</v>
      </c>
      <c r="D22" s="51">
        <v>790000</v>
      </c>
      <c r="E22" s="7">
        <v>1</v>
      </c>
      <c r="F22" s="48">
        <f t="shared" si="0"/>
        <v>790000</v>
      </c>
    </row>
    <row r="23" spans="1:9" ht="15.75" customHeight="1">
      <c r="A23" s="39">
        <v>43603</v>
      </c>
      <c r="B23" s="6" t="s">
        <v>18</v>
      </c>
      <c r="C23" s="6" t="s">
        <v>9</v>
      </c>
      <c r="D23" s="50">
        <v>590000</v>
      </c>
      <c r="E23" s="7">
        <v>2</v>
      </c>
      <c r="F23" s="47">
        <f t="shared" si="0"/>
        <v>1180000</v>
      </c>
    </row>
    <row r="24" spans="1:9" ht="15.75" customHeight="1">
      <c r="A24" s="39">
        <v>43604</v>
      </c>
      <c r="B24" s="6" t="s">
        <v>10</v>
      </c>
      <c r="C24" s="6" t="s">
        <v>17</v>
      </c>
      <c r="D24" s="51">
        <v>375000</v>
      </c>
      <c r="E24" s="7">
        <v>2</v>
      </c>
      <c r="F24" s="48">
        <f t="shared" si="0"/>
        <v>750000</v>
      </c>
    </row>
    <row r="25" spans="1:9" ht="15.75" customHeight="1">
      <c r="A25" s="40">
        <v>43605</v>
      </c>
      <c r="B25" s="6" t="s">
        <v>18</v>
      </c>
      <c r="C25" s="8" t="s">
        <v>9</v>
      </c>
      <c r="D25" s="50">
        <v>590000</v>
      </c>
      <c r="E25" s="7">
        <v>1</v>
      </c>
      <c r="F25" s="47">
        <f t="shared" si="0"/>
        <v>590000</v>
      </c>
    </row>
    <row r="26" spans="1:9" ht="15.75" customHeight="1">
      <c r="A26" s="39">
        <v>43606</v>
      </c>
      <c r="B26" s="8" t="s">
        <v>15</v>
      </c>
      <c r="C26" s="8" t="s">
        <v>11</v>
      </c>
      <c r="D26" s="50">
        <v>750000</v>
      </c>
      <c r="E26" s="7">
        <v>1</v>
      </c>
      <c r="F26" s="47">
        <f t="shared" si="0"/>
        <v>750000</v>
      </c>
    </row>
    <row r="27" spans="1:9" ht="15.75" customHeight="1">
      <c r="A27" s="39">
        <v>43607</v>
      </c>
      <c r="B27" s="6" t="s">
        <v>12</v>
      </c>
      <c r="C27" s="6" t="s">
        <v>14</v>
      </c>
      <c r="D27" s="50">
        <v>460000</v>
      </c>
      <c r="E27" s="7">
        <v>1</v>
      </c>
      <c r="F27" s="47">
        <f t="shared" si="0"/>
        <v>460000</v>
      </c>
    </row>
    <row r="28" spans="1:9" ht="15.75" customHeight="1">
      <c r="A28" s="39">
        <v>43608</v>
      </c>
      <c r="B28" s="6" t="s">
        <v>12</v>
      </c>
      <c r="C28" s="8" t="s">
        <v>14</v>
      </c>
      <c r="D28" s="51">
        <v>460000</v>
      </c>
      <c r="E28" s="7">
        <v>3</v>
      </c>
      <c r="F28" s="48">
        <f t="shared" si="0"/>
        <v>1380000</v>
      </c>
    </row>
    <row r="29" spans="1:9" ht="15.75" customHeight="1">
      <c r="A29" s="39">
        <v>43609</v>
      </c>
      <c r="B29" s="6" t="s">
        <v>15</v>
      </c>
      <c r="C29" s="6" t="s">
        <v>17</v>
      </c>
      <c r="D29" s="50">
        <v>375000</v>
      </c>
      <c r="E29" s="7">
        <v>1</v>
      </c>
      <c r="F29" s="47">
        <f t="shared" si="0"/>
        <v>375000</v>
      </c>
    </row>
    <row r="30" spans="1:9" ht="15.75" customHeight="1">
      <c r="A30" s="39">
        <v>43610</v>
      </c>
      <c r="B30" s="6" t="s">
        <v>8</v>
      </c>
      <c r="C30" s="6" t="s">
        <v>16</v>
      </c>
      <c r="D30" s="50">
        <v>790000</v>
      </c>
      <c r="E30" s="7">
        <v>2</v>
      </c>
      <c r="F30" s="47">
        <f t="shared" si="0"/>
        <v>1580000</v>
      </c>
    </row>
    <row r="31" spans="1:9" ht="15.75" customHeight="1">
      <c r="A31" s="39">
        <v>43611</v>
      </c>
      <c r="B31" s="8" t="s">
        <v>13</v>
      </c>
      <c r="C31" s="6" t="s">
        <v>9</v>
      </c>
      <c r="D31" s="50">
        <v>590000</v>
      </c>
      <c r="E31" s="7">
        <v>1</v>
      </c>
      <c r="F31" s="47">
        <f t="shared" si="0"/>
        <v>590000</v>
      </c>
    </row>
    <row r="32" spans="1:9" ht="15.75" customHeight="1">
      <c r="A32" s="39">
        <v>43612</v>
      </c>
      <c r="B32" s="6" t="s">
        <v>10</v>
      </c>
      <c r="C32" s="6" t="s">
        <v>17</v>
      </c>
      <c r="D32" s="51">
        <v>375000</v>
      </c>
      <c r="E32" s="7">
        <v>2</v>
      </c>
      <c r="F32" s="48">
        <f t="shared" si="0"/>
        <v>750000</v>
      </c>
    </row>
    <row r="33" spans="1:6" ht="15.75" customHeight="1">
      <c r="A33" s="40">
        <v>43613</v>
      </c>
      <c r="B33" s="6" t="s">
        <v>8</v>
      </c>
      <c r="C33" s="6" t="s">
        <v>9</v>
      </c>
      <c r="D33" s="50">
        <v>590000</v>
      </c>
      <c r="E33" s="7">
        <v>3</v>
      </c>
      <c r="F33" s="47">
        <f t="shared" si="0"/>
        <v>1770000</v>
      </c>
    </row>
    <row r="34" spans="1:6" ht="15.75" customHeight="1">
      <c r="A34" s="39">
        <v>43614</v>
      </c>
      <c r="B34" s="6" t="s">
        <v>10</v>
      </c>
      <c r="C34" s="6" t="s">
        <v>11</v>
      </c>
      <c r="D34" s="51">
        <v>750000</v>
      </c>
      <c r="E34" s="7">
        <v>1</v>
      </c>
      <c r="F34" s="48">
        <f t="shared" si="0"/>
        <v>750000</v>
      </c>
    </row>
    <row r="35" spans="1:6" ht="15.75" customHeight="1">
      <c r="A35" s="41">
        <v>43615</v>
      </c>
      <c r="B35" s="42" t="s">
        <v>18</v>
      </c>
      <c r="C35" s="42" t="s">
        <v>14</v>
      </c>
      <c r="D35" s="52">
        <v>460000</v>
      </c>
      <c r="E35" s="43">
        <v>1</v>
      </c>
      <c r="F35" s="49">
        <f t="shared" si="0"/>
        <v>460000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spans="1:1" ht="15.75" customHeight="1"/>
    <row r="50" spans="1:1" ht="15.75" customHeight="1"/>
    <row r="51" spans="1:1" ht="15.75" customHeight="1"/>
    <row r="52" spans="1:1" ht="15.75" customHeight="1"/>
    <row r="53" spans="1:1" ht="15.75" customHeight="1"/>
    <row r="54" spans="1:1" ht="15.75" customHeight="1"/>
    <row r="55" spans="1:1" ht="15.75" customHeight="1"/>
    <row r="56" spans="1:1" ht="15.75" customHeight="1">
      <c r="A56" s="2" t="s">
        <v>45</v>
      </c>
    </row>
    <row r="57" spans="1:1" ht="15.75" customHeight="1"/>
    <row r="58" spans="1:1" ht="15.75" customHeight="1"/>
    <row r="59" spans="1:1" ht="15.75" customHeight="1"/>
    <row r="60" spans="1:1" ht="15.75" customHeight="1"/>
    <row r="61" spans="1:1" ht="15.75" customHeight="1"/>
    <row r="62" spans="1:1" ht="15.75" customHeight="1"/>
    <row r="63" spans="1:1" ht="15.75" customHeight="1"/>
    <row r="64" spans="1: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C4"/>
  </mergeCells>
  <pageMargins left="0.7" right="0.7" top="0.75" bottom="0.75" header="0" footer="0"/>
  <pageSetup orientation="landscape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0"/>
  <sheetViews>
    <sheetView zoomScaleNormal="100" workbookViewId="0">
      <selection activeCell="K5" sqref="K5"/>
    </sheetView>
  </sheetViews>
  <sheetFormatPr defaultColWidth="14.44140625" defaultRowHeight="15" customHeight="1"/>
  <cols>
    <col min="1" max="1" width="11" customWidth="1"/>
    <col min="2" max="2" width="16.21875" bestFit="1" customWidth="1"/>
    <col min="3" max="3" width="12.21875" customWidth="1"/>
    <col min="4" max="4" width="11.44140625" customWidth="1"/>
    <col min="5" max="5" width="8.77734375" customWidth="1"/>
    <col min="6" max="6" width="13.21875" customWidth="1"/>
    <col min="7" max="9" width="8.77734375" customWidth="1"/>
    <col min="10" max="10" width="11.6640625" customWidth="1"/>
    <col min="11" max="11" width="13.5546875" customWidth="1"/>
    <col min="12" max="26" width="8.77734375" customWidth="1"/>
  </cols>
  <sheetData>
    <row r="1" spans="1:11" ht="14.4">
      <c r="A1" s="1" t="s">
        <v>46</v>
      </c>
    </row>
    <row r="3" spans="1:11" ht="14.4">
      <c r="J3" s="91" t="s">
        <v>4</v>
      </c>
      <c r="K3" s="91" t="s">
        <v>47</v>
      </c>
    </row>
    <row r="4" spans="1:11" ht="14.4">
      <c r="A4" s="71" t="s">
        <v>2</v>
      </c>
      <c r="B4" s="71" t="s">
        <v>3</v>
      </c>
      <c r="C4" s="71" t="s">
        <v>4</v>
      </c>
      <c r="D4" s="72" t="s">
        <v>56</v>
      </c>
      <c r="E4" s="71" t="s">
        <v>6</v>
      </c>
      <c r="F4" s="71" t="s">
        <v>7</v>
      </c>
      <c r="J4" s="11" t="s">
        <v>9</v>
      </c>
      <c r="K4" s="74">
        <v>590000</v>
      </c>
    </row>
    <row r="5" spans="1:11" ht="14.4">
      <c r="A5" s="5">
        <v>43586</v>
      </c>
      <c r="B5" s="6" t="s">
        <v>8</v>
      </c>
      <c r="C5" s="6" t="s">
        <v>9</v>
      </c>
      <c r="D5" s="73">
        <f>_xlfn.XLOOKUP(C5,$J$4:$J$9,$K$4:$K$9)</f>
        <v>590000</v>
      </c>
      <c r="E5" s="7">
        <v>1</v>
      </c>
      <c r="F5" s="75">
        <f>D5*E5</f>
        <v>590000</v>
      </c>
      <c r="J5" s="11" t="s">
        <v>11</v>
      </c>
      <c r="K5" s="74">
        <v>750000</v>
      </c>
    </row>
    <row r="6" spans="1:11" ht="14.4">
      <c r="A6" s="5">
        <v>43587</v>
      </c>
      <c r="B6" s="6" t="s">
        <v>10</v>
      </c>
      <c r="C6" s="6" t="s">
        <v>11</v>
      </c>
      <c r="D6" s="73">
        <f t="shared" ref="D6:D34" si="0">_xlfn.XLOOKUP(C6,$J$4:$J$9,$K$4:$K$9)</f>
        <v>750000</v>
      </c>
      <c r="E6" s="7">
        <v>2</v>
      </c>
      <c r="F6" s="75">
        <f t="shared" ref="F6:F34" si="1">D6*E6</f>
        <v>1500000</v>
      </c>
      <c r="J6" s="11" t="s">
        <v>14</v>
      </c>
      <c r="K6" s="74">
        <v>460000</v>
      </c>
    </row>
    <row r="7" spans="1:11" ht="14.4">
      <c r="A7" s="5">
        <v>43588</v>
      </c>
      <c r="B7" s="6" t="s">
        <v>12</v>
      </c>
      <c r="C7" s="6" t="s">
        <v>9</v>
      </c>
      <c r="D7" s="73">
        <f t="shared" si="0"/>
        <v>590000</v>
      </c>
      <c r="E7" s="7">
        <v>1</v>
      </c>
      <c r="F7" s="75">
        <f t="shared" si="1"/>
        <v>590000</v>
      </c>
      <c r="J7" s="11" t="s">
        <v>16</v>
      </c>
      <c r="K7" s="74">
        <v>790000</v>
      </c>
    </row>
    <row r="8" spans="1:11" ht="14.4">
      <c r="A8" s="5">
        <v>43589</v>
      </c>
      <c r="B8" s="6" t="s">
        <v>13</v>
      </c>
      <c r="C8" s="6" t="s">
        <v>14</v>
      </c>
      <c r="D8" s="73">
        <f t="shared" si="0"/>
        <v>460000</v>
      </c>
      <c r="E8" s="7">
        <v>1</v>
      </c>
      <c r="F8" s="75">
        <f t="shared" si="1"/>
        <v>460000</v>
      </c>
      <c r="J8" s="11" t="s">
        <v>17</v>
      </c>
      <c r="K8" s="74">
        <v>375000</v>
      </c>
    </row>
    <row r="9" spans="1:11" ht="14.4">
      <c r="A9" s="5">
        <v>43590</v>
      </c>
      <c r="B9" s="6" t="s">
        <v>15</v>
      </c>
      <c r="C9" s="8" t="s">
        <v>16</v>
      </c>
      <c r="D9" s="73">
        <f t="shared" si="0"/>
        <v>790000</v>
      </c>
      <c r="E9" s="7">
        <v>3</v>
      </c>
      <c r="F9" s="75">
        <f t="shared" si="1"/>
        <v>2370000</v>
      </c>
      <c r="J9" s="11" t="s">
        <v>48</v>
      </c>
      <c r="K9" s="74">
        <v>348000</v>
      </c>
    </row>
    <row r="10" spans="1:11" ht="14.4">
      <c r="A10" s="5">
        <v>43591</v>
      </c>
      <c r="B10" s="6" t="s">
        <v>8</v>
      </c>
      <c r="C10" s="6" t="s">
        <v>17</v>
      </c>
      <c r="D10" s="73">
        <f t="shared" si="0"/>
        <v>375000</v>
      </c>
      <c r="E10" s="7">
        <v>2</v>
      </c>
      <c r="F10" s="75">
        <f t="shared" si="1"/>
        <v>750000</v>
      </c>
    </row>
    <row r="11" spans="1:11" ht="14.4">
      <c r="A11" s="5">
        <v>43592</v>
      </c>
      <c r="B11" s="6" t="s">
        <v>10</v>
      </c>
      <c r="C11" s="6" t="s">
        <v>9</v>
      </c>
      <c r="D11" s="73">
        <f t="shared" si="0"/>
        <v>590000</v>
      </c>
      <c r="E11" s="7">
        <v>3</v>
      </c>
      <c r="F11" s="75">
        <f t="shared" si="1"/>
        <v>1770000</v>
      </c>
    </row>
    <row r="12" spans="1:11" ht="14.4">
      <c r="A12" s="5">
        <v>43593</v>
      </c>
      <c r="B12" s="6" t="s">
        <v>8</v>
      </c>
      <c r="C12" s="6" t="s">
        <v>11</v>
      </c>
      <c r="D12" s="73">
        <f t="shared" si="0"/>
        <v>750000</v>
      </c>
      <c r="E12" s="7">
        <v>2</v>
      </c>
      <c r="F12" s="75">
        <f t="shared" si="1"/>
        <v>1500000</v>
      </c>
    </row>
    <row r="13" spans="1:11" ht="14.4">
      <c r="A13" s="9">
        <v>43594</v>
      </c>
      <c r="B13" s="8" t="s">
        <v>13</v>
      </c>
      <c r="C13" s="6" t="s">
        <v>9</v>
      </c>
      <c r="D13" s="73">
        <f t="shared" si="0"/>
        <v>590000</v>
      </c>
      <c r="E13" s="7">
        <v>3</v>
      </c>
      <c r="F13" s="75">
        <f t="shared" si="1"/>
        <v>1770000</v>
      </c>
    </row>
    <row r="14" spans="1:11" ht="14.4">
      <c r="A14" s="5">
        <v>43595</v>
      </c>
      <c r="B14" s="6" t="s">
        <v>12</v>
      </c>
      <c r="C14" s="6" t="s">
        <v>11</v>
      </c>
      <c r="D14" s="73">
        <f t="shared" si="0"/>
        <v>750000</v>
      </c>
      <c r="E14" s="7">
        <v>2</v>
      </c>
      <c r="F14" s="75">
        <f t="shared" si="1"/>
        <v>1500000</v>
      </c>
    </row>
    <row r="15" spans="1:11" ht="14.4">
      <c r="A15" s="5">
        <v>43596</v>
      </c>
      <c r="B15" s="6" t="s">
        <v>10</v>
      </c>
      <c r="C15" s="8" t="s">
        <v>14</v>
      </c>
      <c r="D15" s="73">
        <f t="shared" si="0"/>
        <v>460000</v>
      </c>
      <c r="E15" s="7">
        <v>1</v>
      </c>
      <c r="F15" s="75">
        <f t="shared" si="1"/>
        <v>460000</v>
      </c>
    </row>
    <row r="16" spans="1:11" ht="14.4">
      <c r="A16" s="5">
        <v>43597</v>
      </c>
      <c r="B16" s="8" t="s">
        <v>13</v>
      </c>
      <c r="C16" s="6" t="s">
        <v>14</v>
      </c>
      <c r="D16" s="73">
        <f t="shared" si="0"/>
        <v>460000</v>
      </c>
      <c r="E16" s="10">
        <v>1</v>
      </c>
      <c r="F16" s="75">
        <f t="shared" si="1"/>
        <v>460000</v>
      </c>
    </row>
    <row r="17" spans="1:6" ht="14.4">
      <c r="A17" s="5">
        <v>43598</v>
      </c>
      <c r="B17" s="6" t="s">
        <v>15</v>
      </c>
      <c r="C17" s="8" t="s">
        <v>11</v>
      </c>
      <c r="D17" s="73">
        <f t="shared" si="0"/>
        <v>750000</v>
      </c>
      <c r="E17" s="7">
        <v>1</v>
      </c>
      <c r="F17" s="75">
        <f t="shared" si="1"/>
        <v>750000</v>
      </c>
    </row>
    <row r="18" spans="1:6" ht="14.4">
      <c r="A18" s="5">
        <v>43599</v>
      </c>
      <c r="B18" s="8" t="s">
        <v>15</v>
      </c>
      <c r="C18" s="6" t="s">
        <v>9</v>
      </c>
      <c r="D18" s="73">
        <f t="shared" si="0"/>
        <v>590000</v>
      </c>
      <c r="E18" s="10">
        <v>2</v>
      </c>
      <c r="F18" s="75">
        <f t="shared" si="1"/>
        <v>1180000</v>
      </c>
    </row>
    <row r="19" spans="1:6" ht="14.4">
      <c r="A19" s="9">
        <v>43600</v>
      </c>
      <c r="B19" s="6" t="s">
        <v>8</v>
      </c>
      <c r="C19" s="6" t="s">
        <v>17</v>
      </c>
      <c r="D19" s="73">
        <f t="shared" si="0"/>
        <v>375000</v>
      </c>
      <c r="E19" s="7">
        <v>2</v>
      </c>
      <c r="F19" s="75">
        <f t="shared" si="1"/>
        <v>750000</v>
      </c>
    </row>
    <row r="20" spans="1:6" ht="14.4">
      <c r="A20" s="5">
        <v>43601</v>
      </c>
      <c r="B20" s="6" t="s">
        <v>10</v>
      </c>
      <c r="C20" s="6" t="s">
        <v>16</v>
      </c>
      <c r="D20" s="73">
        <f t="shared" si="0"/>
        <v>790000</v>
      </c>
      <c r="E20" s="7">
        <v>1</v>
      </c>
      <c r="F20" s="75">
        <f t="shared" si="1"/>
        <v>790000</v>
      </c>
    </row>
    <row r="21" spans="1:6" ht="15.75" customHeight="1">
      <c r="A21" s="5">
        <v>43602</v>
      </c>
      <c r="B21" s="6" t="s">
        <v>12</v>
      </c>
      <c r="C21" s="6" t="s">
        <v>16</v>
      </c>
      <c r="D21" s="73">
        <f t="shared" si="0"/>
        <v>790000</v>
      </c>
      <c r="E21" s="7">
        <v>1</v>
      </c>
      <c r="F21" s="75">
        <f t="shared" si="1"/>
        <v>790000</v>
      </c>
    </row>
    <row r="22" spans="1:6" ht="15.75" customHeight="1">
      <c r="A22" s="5">
        <v>43603</v>
      </c>
      <c r="B22" s="6" t="s">
        <v>18</v>
      </c>
      <c r="C22" s="6" t="s">
        <v>9</v>
      </c>
      <c r="D22" s="73">
        <f t="shared" si="0"/>
        <v>590000</v>
      </c>
      <c r="E22" s="7">
        <v>2</v>
      </c>
      <c r="F22" s="75">
        <f t="shared" si="1"/>
        <v>1180000</v>
      </c>
    </row>
    <row r="23" spans="1:6" ht="15.75" customHeight="1">
      <c r="A23" s="5">
        <v>43604</v>
      </c>
      <c r="B23" s="6" t="s">
        <v>10</v>
      </c>
      <c r="C23" s="6" t="s">
        <v>17</v>
      </c>
      <c r="D23" s="73">
        <f t="shared" si="0"/>
        <v>375000</v>
      </c>
      <c r="E23" s="7">
        <v>2</v>
      </c>
      <c r="F23" s="75">
        <f t="shared" si="1"/>
        <v>750000</v>
      </c>
    </row>
    <row r="24" spans="1:6" ht="15.75" customHeight="1">
      <c r="A24" s="9">
        <v>43605</v>
      </c>
      <c r="B24" s="6" t="s">
        <v>18</v>
      </c>
      <c r="C24" s="8" t="s">
        <v>9</v>
      </c>
      <c r="D24" s="73">
        <f t="shared" si="0"/>
        <v>590000</v>
      </c>
      <c r="E24" s="7">
        <v>1</v>
      </c>
      <c r="F24" s="75">
        <f t="shared" si="1"/>
        <v>590000</v>
      </c>
    </row>
    <row r="25" spans="1:6" ht="15.75" customHeight="1">
      <c r="A25" s="5">
        <v>43606</v>
      </c>
      <c r="B25" s="8" t="s">
        <v>15</v>
      </c>
      <c r="C25" s="8" t="s">
        <v>11</v>
      </c>
      <c r="D25" s="73">
        <f t="shared" si="0"/>
        <v>750000</v>
      </c>
      <c r="E25" s="7">
        <v>1</v>
      </c>
      <c r="F25" s="75">
        <f t="shared" si="1"/>
        <v>750000</v>
      </c>
    </row>
    <row r="26" spans="1:6" ht="15.75" customHeight="1">
      <c r="A26" s="5">
        <v>43607</v>
      </c>
      <c r="B26" s="6" t="s">
        <v>12</v>
      </c>
      <c r="C26" s="6" t="s">
        <v>14</v>
      </c>
      <c r="D26" s="73">
        <f t="shared" si="0"/>
        <v>460000</v>
      </c>
      <c r="E26" s="7">
        <v>1</v>
      </c>
      <c r="F26" s="75">
        <f t="shared" si="1"/>
        <v>460000</v>
      </c>
    </row>
    <row r="27" spans="1:6" ht="15.75" customHeight="1">
      <c r="A27" s="5">
        <v>43608</v>
      </c>
      <c r="B27" s="6" t="s">
        <v>12</v>
      </c>
      <c r="C27" s="8" t="s">
        <v>14</v>
      </c>
      <c r="D27" s="73">
        <f t="shared" si="0"/>
        <v>460000</v>
      </c>
      <c r="E27" s="7">
        <v>3</v>
      </c>
      <c r="F27" s="75">
        <f t="shared" si="1"/>
        <v>1380000</v>
      </c>
    </row>
    <row r="28" spans="1:6" ht="15.75" customHeight="1">
      <c r="A28" s="5">
        <v>43609</v>
      </c>
      <c r="B28" s="6" t="s">
        <v>15</v>
      </c>
      <c r="C28" s="6" t="s">
        <v>17</v>
      </c>
      <c r="D28" s="73">
        <f t="shared" si="0"/>
        <v>375000</v>
      </c>
      <c r="E28" s="7">
        <v>1</v>
      </c>
      <c r="F28" s="75">
        <f t="shared" si="1"/>
        <v>375000</v>
      </c>
    </row>
    <row r="29" spans="1:6" ht="15.75" customHeight="1">
      <c r="A29" s="5">
        <v>43610</v>
      </c>
      <c r="B29" s="6" t="s">
        <v>8</v>
      </c>
      <c r="C29" s="6" t="s">
        <v>16</v>
      </c>
      <c r="D29" s="73">
        <f t="shared" si="0"/>
        <v>790000</v>
      </c>
      <c r="E29" s="7">
        <v>2</v>
      </c>
      <c r="F29" s="75">
        <f t="shared" si="1"/>
        <v>1580000</v>
      </c>
    </row>
    <row r="30" spans="1:6" ht="15.75" customHeight="1">
      <c r="A30" s="5">
        <v>43611</v>
      </c>
      <c r="B30" s="8" t="s">
        <v>13</v>
      </c>
      <c r="C30" s="6" t="s">
        <v>9</v>
      </c>
      <c r="D30" s="73">
        <f t="shared" si="0"/>
        <v>590000</v>
      </c>
      <c r="E30" s="7">
        <v>1</v>
      </c>
      <c r="F30" s="75">
        <f t="shared" si="1"/>
        <v>590000</v>
      </c>
    </row>
    <row r="31" spans="1:6" ht="15.75" customHeight="1">
      <c r="A31" s="5">
        <v>43612</v>
      </c>
      <c r="B31" s="6" t="s">
        <v>10</v>
      </c>
      <c r="C31" s="6" t="s">
        <v>17</v>
      </c>
      <c r="D31" s="73">
        <f t="shared" si="0"/>
        <v>375000</v>
      </c>
      <c r="E31" s="7">
        <v>2</v>
      </c>
      <c r="F31" s="75">
        <f t="shared" si="1"/>
        <v>750000</v>
      </c>
    </row>
    <row r="32" spans="1:6" ht="15.75" customHeight="1">
      <c r="A32" s="9">
        <v>43613</v>
      </c>
      <c r="B32" s="6" t="s">
        <v>8</v>
      </c>
      <c r="C32" s="6" t="s">
        <v>9</v>
      </c>
      <c r="D32" s="73">
        <f t="shared" si="0"/>
        <v>590000</v>
      </c>
      <c r="E32" s="7">
        <v>3</v>
      </c>
      <c r="F32" s="75">
        <f t="shared" si="1"/>
        <v>1770000</v>
      </c>
    </row>
    <row r="33" spans="1:6" ht="15.75" customHeight="1">
      <c r="A33" s="5">
        <v>43614</v>
      </c>
      <c r="B33" s="6" t="s">
        <v>10</v>
      </c>
      <c r="C33" s="6" t="s">
        <v>11</v>
      </c>
      <c r="D33" s="73">
        <f t="shared" si="0"/>
        <v>750000</v>
      </c>
      <c r="E33" s="7">
        <v>1</v>
      </c>
      <c r="F33" s="75">
        <f t="shared" si="1"/>
        <v>750000</v>
      </c>
    </row>
    <row r="34" spans="1:6" ht="15.75" customHeight="1">
      <c r="A34" s="5">
        <v>43615</v>
      </c>
      <c r="B34" s="6" t="s">
        <v>18</v>
      </c>
      <c r="C34" s="6" t="s">
        <v>14</v>
      </c>
      <c r="D34" s="73">
        <f t="shared" si="0"/>
        <v>460000</v>
      </c>
      <c r="E34" s="7">
        <v>1</v>
      </c>
      <c r="F34" s="75">
        <f t="shared" si="1"/>
        <v>460000</v>
      </c>
    </row>
    <row r="35" spans="1:6" ht="15.75" customHeight="1"/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00"/>
  <sheetViews>
    <sheetView tabSelected="1" workbookViewId="0">
      <selection activeCell="G15" sqref="G15"/>
    </sheetView>
  </sheetViews>
  <sheetFormatPr defaultColWidth="14.44140625" defaultRowHeight="15" customHeight="1"/>
  <cols>
    <col min="1" max="1" width="11.77734375" bestFit="1" customWidth="1"/>
    <col min="2" max="2" width="15.21875" customWidth="1"/>
    <col min="3" max="3" width="12.21875" customWidth="1"/>
    <col min="4" max="4" width="14" bestFit="1" customWidth="1"/>
    <col min="5" max="5" width="10.33203125" customWidth="1"/>
    <col min="6" max="6" width="13.21875" customWidth="1"/>
    <col min="7" max="7" width="8.77734375" customWidth="1"/>
    <col min="8" max="8" width="11.6640625" customWidth="1"/>
    <col min="9" max="9" width="13.5546875" customWidth="1"/>
    <col min="10" max="26" width="8.77734375" customWidth="1"/>
  </cols>
  <sheetData>
    <row r="1" spans="1:9" ht="18">
      <c r="A1" s="90" t="s">
        <v>49</v>
      </c>
      <c r="B1" s="90"/>
      <c r="C1" s="90"/>
      <c r="D1" s="90"/>
    </row>
    <row r="3" spans="1:9" ht="14.4">
      <c r="H3" s="91" t="s">
        <v>4</v>
      </c>
      <c r="I3" s="91" t="s">
        <v>47</v>
      </c>
    </row>
    <row r="4" spans="1:9" ht="14.4">
      <c r="A4" s="92" t="s">
        <v>4</v>
      </c>
      <c r="B4" s="93" t="s">
        <v>5</v>
      </c>
      <c r="C4" s="93" t="s">
        <v>6</v>
      </c>
      <c r="D4" s="94" t="s">
        <v>7</v>
      </c>
      <c r="H4" s="11" t="s">
        <v>9</v>
      </c>
      <c r="I4" s="74">
        <v>590000</v>
      </c>
    </row>
    <row r="5" spans="1:9" ht="14.4">
      <c r="A5" s="12" t="str">
        <f>H4</f>
        <v>Toyota</v>
      </c>
      <c r="B5" s="7">
        <f>_xlfn.XLOOKUP(A5,$H$4:$H$9,$I$4:$I$9)</f>
        <v>590000</v>
      </c>
      <c r="C5" s="7">
        <v>2</v>
      </c>
      <c r="D5" s="95">
        <f>B5*C5</f>
        <v>1180000</v>
      </c>
      <c r="H5" s="11" t="s">
        <v>11</v>
      </c>
      <c r="I5" s="74">
        <v>750000</v>
      </c>
    </row>
    <row r="6" spans="1:9" ht="14.4">
      <c r="A6" s="12" t="str">
        <f t="shared" ref="A6:A12" si="0">H5</f>
        <v>Jeep</v>
      </c>
      <c r="B6" s="7">
        <f t="shared" ref="B6:B10" si="1">_xlfn.XLOOKUP(A6,$H$4:$H$9,$I$4:$I$9)</f>
        <v>750000</v>
      </c>
      <c r="C6" s="7">
        <v>3</v>
      </c>
      <c r="D6" s="95">
        <f t="shared" ref="D6:D10" si="2">B6*C6</f>
        <v>2250000</v>
      </c>
      <c r="H6" s="11" t="s">
        <v>14</v>
      </c>
      <c r="I6" s="74">
        <v>460000</v>
      </c>
    </row>
    <row r="7" spans="1:9" ht="14.4">
      <c r="A7" s="12" t="str">
        <f t="shared" si="0"/>
        <v>Volkswagen</v>
      </c>
      <c r="B7" s="7">
        <f t="shared" si="1"/>
        <v>460000</v>
      </c>
      <c r="C7" s="7">
        <v>1</v>
      </c>
      <c r="D7" s="95">
        <f t="shared" si="2"/>
        <v>460000</v>
      </c>
      <c r="H7" s="11" t="s">
        <v>16</v>
      </c>
      <c r="I7" s="74">
        <v>790000</v>
      </c>
    </row>
    <row r="8" spans="1:9" ht="14.4">
      <c r="A8" s="12" t="str">
        <f t="shared" si="0"/>
        <v>BMW</v>
      </c>
      <c r="B8" s="7">
        <f t="shared" si="1"/>
        <v>790000</v>
      </c>
      <c r="C8" s="7">
        <v>5</v>
      </c>
      <c r="D8" s="95">
        <f t="shared" si="2"/>
        <v>3950000</v>
      </c>
      <c r="H8" s="11" t="s">
        <v>17</v>
      </c>
      <c r="I8" s="74">
        <v>375000</v>
      </c>
    </row>
    <row r="9" spans="1:9" ht="14.4">
      <c r="A9" s="12" t="str">
        <f t="shared" si="0"/>
        <v>Kia</v>
      </c>
      <c r="B9" s="7">
        <f t="shared" si="1"/>
        <v>375000</v>
      </c>
      <c r="C9" s="7">
        <v>8</v>
      </c>
      <c r="D9" s="95">
        <f t="shared" si="2"/>
        <v>3000000</v>
      </c>
      <c r="H9" s="11" t="s">
        <v>48</v>
      </c>
      <c r="I9" s="74">
        <v>348000</v>
      </c>
    </row>
    <row r="10" spans="1:9" ht="14.4">
      <c r="A10" s="12" t="str">
        <f t="shared" si="0"/>
        <v>Mazda</v>
      </c>
      <c r="B10" s="7">
        <f t="shared" si="1"/>
        <v>348000</v>
      </c>
      <c r="C10" s="7">
        <v>7</v>
      </c>
      <c r="D10" s="95">
        <f t="shared" si="2"/>
        <v>2436000</v>
      </c>
    </row>
    <row r="11" spans="1:9" ht="14.4">
      <c r="A11" s="12"/>
      <c r="B11" s="7"/>
      <c r="C11" s="7"/>
      <c r="D11" s="13"/>
    </row>
    <row r="12" spans="1:9" ht="14.4">
      <c r="A12" s="12"/>
      <c r="B12" s="7"/>
      <c r="C12" s="7"/>
      <c r="D12" s="13"/>
    </row>
    <row r="13" spans="1:9" ht="14.4">
      <c r="A13" s="12"/>
      <c r="B13" s="7"/>
      <c r="C13" s="7"/>
      <c r="D13" s="13"/>
    </row>
    <row r="14" spans="1:9" ht="14.4">
      <c r="A14" s="12"/>
      <c r="B14" s="7"/>
      <c r="C14" s="7"/>
      <c r="D14" s="13"/>
    </row>
    <row r="15" spans="1:9" ht="14.4">
      <c r="A15" s="85"/>
      <c r="B15" s="43"/>
      <c r="C15" s="43"/>
      <c r="D15" s="86"/>
    </row>
    <row r="16" spans="1:9" ht="14.4">
      <c r="A16" s="87" t="s">
        <v>50</v>
      </c>
      <c r="B16" s="88"/>
      <c r="C16" s="89"/>
      <c r="D16" s="96">
        <f>SUM(D5:D15)</f>
        <v>13276000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6:B16"/>
    <mergeCell ref="A1:D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Task 1</vt:lpstr>
      <vt:lpstr>Task 2</vt:lpstr>
      <vt:lpstr>Task 3</vt:lpstr>
      <vt:lpstr>Task 4</vt:lpstr>
      <vt:lpstr>Task 5</vt:lpstr>
      <vt:lpstr>Task 6</vt:lpstr>
      <vt:lpstr>Task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Youssef Elbarbry</cp:lastModifiedBy>
  <dcterms:created xsi:type="dcterms:W3CDTF">2024-07-26T20:53:48Z</dcterms:created>
  <dcterms:modified xsi:type="dcterms:W3CDTF">2026-09-16T20:10:21Z</dcterms:modified>
</cp:coreProperties>
</file>